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ahí Carbajal\Downloads\"/>
    </mc:Choice>
  </mc:AlternateContent>
  <xr:revisionPtr revIDLastSave="0" documentId="13_ncr:1_{C161A5C2-5B2D-48FF-986A-2DA1A60DF64A}" xr6:coauthVersionLast="47" xr6:coauthVersionMax="47" xr10:uidLastSave="{00000000-0000-0000-0000-000000000000}"/>
  <bookViews>
    <workbookView xWindow="-96" yWindow="-96" windowWidth="18192" windowHeight="11472" firstSheet="2" activeTab="6" xr2:uid="{00000000-000D-0000-FFFF-FFFF00000000}"/>
  </bookViews>
  <sheets>
    <sheet name="Guía" sheetId="1" r:id="rId1"/>
    <sheet name="Datos_Prueba" sheetId="2" r:id="rId2"/>
    <sheet name="Percentiles" sheetId="3" r:id="rId3"/>
    <sheet name="Cálculos" sheetId="4" r:id="rId4"/>
    <sheet name="Rangos_Métodos" sheetId="5" r:id="rId5"/>
    <sheet name="Comparación" sheetId="6" r:id="rId6"/>
    <sheet name="Evaluación" sheetId="7" r:id="rId7"/>
  </sheets>
  <definedNames>
    <definedName name="_xlnm._FilterDatabase" localSheetId="1" hidden="1">Datos_Prueba!$A$7:$O$27</definedName>
    <definedName name="_xlnm._FilterDatabase" localSheetId="6" hidden="1">Evaluación!$A$11:$H$20</definedName>
    <definedName name="_xlnm._FilterDatabase" localSheetId="4" hidden="1">Rangos_Métodos!$A$5:$P$14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" l="1"/>
  <c r="E20" i="7" s="1"/>
  <c r="D8" i="2"/>
  <c r="I11" i="2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N27" i="2"/>
  <c r="I27" i="2"/>
  <c r="D27" i="2"/>
  <c r="N26" i="2"/>
  <c r="I26" i="2"/>
  <c r="D26" i="2"/>
  <c r="N25" i="2"/>
  <c r="I25" i="2"/>
  <c r="D25" i="2"/>
  <c r="N24" i="2"/>
  <c r="I24" i="2"/>
  <c r="D24" i="2"/>
  <c r="N23" i="2"/>
  <c r="I23" i="2"/>
  <c r="D23" i="2"/>
  <c r="N22" i="2"/>
  <c r="I22" i="2"/>
  <c r="D22" i="2"/>
  <c r="N21" i="2"/>
  <c r="I21" i="2"/>
  <c r="D21" i="2"/>
  <c r="N20" i="2"/>
  <c r="I20" i="2"/>
  <c r="D20" i="2"/>
  <c r="N19" i="2"/>
  <c r="I19" i="2"/>
  <c r="D19" i="2"/>
  <c r="N18" i="2"/>
  <c r="I18" i="2"/>
  <c r="D18" i="2"/>
  <c r="N17" i="2"/>
  <c r="I17" i="2"/>
  <c r="D17" i="2"/>
  <c r="N16" i="2"/>
  <c r="I16" i="2"/>
  <c r="D16" i="2"/>
  <c r="N15" i="2"/>
  <c r="I15" i="2"/>
  <c r="D15" i="2"/>
  <c r="N14" i="2"/>
  <c r="I14" i="2"/>
  <c r="D14" i="2"/>
  <c r="N13" i="2"/>
  <c r="I13" i="2"/>
  <c r="D13" i="2"/>
  <c r="N12" i="2"/>
  <c r="I12" i="2"/>
  <c r="D12" i="2"/>
  <c r="N11" i="2"/>
  <c r="D11" i="2"/>
  <c r="N10" i="2"/>
  <c r="I10" i="2"/>
  <c r="D10" i="2"/>
  <c r="N9" i="2"/>
  <c r="I9" i="2"/>
  <c r="D9" i="2"/>
  <c r="N8" i="2"/>
  <c r="I8" i="2"/>
  <c r="E12" i="7" l="1"/>
  <c r="C6" i="4"/>
  <c r="E6" i="4"/>
  <c r="E7" i="4"/>
  <c r="C7" i="4"/>
  <c r="D7" i="4"/>
  <c r="D6" i="4"/>
  <c r="E15" i="7"/>
  <c r="E17" i="7"/>
  <c r="E18" i="7"/>
  <c r="W10" i="3"/>
  <c r="X10" i="3" s="1"/>
  <c r="Y10" i="3" s="1"/>
  <c r="E13" i="7"/>
  <c r="E16" i="7"/>
  <c r="E19" i="7"/>
  <c r="E14" i="7"/>
  <c r="D10" i="4"/>
  <c r="C7" i="3"/>
  <c r="D7" i="3" s="1"/>
  <c r="D5" i="4"/>
  <c r="C10" i="4"/>
  <c r="C8" i="3"/>
  <c r="D8" i="3" s="1"/>
  <c r="D8" i="4"/>
  <c r="J21" i="2" s="1"/>
  <c r="M9" i="3"/>
  <c r="N9" i="3" s="1"/>
  <c r="M8" i="3"/>
  <c r="N8" i="3" s="1"/>
  <c r="W9" i="3"/>
  <c r="X9" i="3" s="1"/>
  <c r="D4" i="4"/>
  <c r="E5" i="4"/>
  <c r="E10" i="4"/>
  <c r="M7" i="3"/>
  <c r="N7" i="3" s="1"/>
  <c r="E11" i="4"/>
  <c r="W7" i="3"/>
  <c r="X7" i="3" s="1"/>
  <c r="E4" i="4"/>
  <c r="C4" i="4"/>
  <c r="C11" i="3"/>
  <c r="D11" i="3" s="1"/>
  <c r="C9" i="3"/>
  <c r="D9" i="3" s="1"/>
  <c r="C11" i="4"/>
  <c r="M10" i="3"/>
  <c r="N10" i="3" s="1"/>
  <c r="C10" i="3"/>
  <c r="D10" i="3" s="1"/>
  <c r="C5" i="4"/>
  <c r="C8" i="4"/>
  <c r="E9" i="2" s="1"/>
  <c r="W11" i="3"/>
  <c r="X11" i="3" s="1"/>
  <c r="E8" i="4"/>
  <c r="O19" i="2" s="1"/>
  <c r="D11" i="4"/>
  <c r="W8" i="3"/>
  <c r="X8" i="3" s="1"/>
  <c r="M11" i="3"/>
  <c r="N11" i="3" s="1"/>
  <c r="E20" i="4" l="1"/>
  <c r="E21" i="4" s="1"/>
  <c r="E23" i="4" s="1"/>
  <c r="C6" i="5"/>
  <c r="D6" i="5" s="1"/>
  <c r="C20" i="4"/>
  <c r="C21" i="4" s="1"/>
  <c r="C23" i="4" s="1"/>
  <c r="C9" i="4"/>
  <c r="D20" i="4"/>
  <c r="D21" i="4" s="1"/>
  <c r="D22" i="4" s="1"/>
  <c r="J11" i="2"/>
  <c r="E8" i="2"/>
  <c r="E16" i="2"/>
  <c r="E21" i="2"/>
  <c r="O27" i="2"/>
  <c r="J13" i="2"/>
  <c r="C9" i="5"/>
  <c r="D9" i="4"/>
  <c r="C7" i="6"/>
  <c r="O11" i="3"/>
  <c r="P11" i="3" s="1"/>
  <c r="E7" i="3"/>
  <c r="F7" i="3" s="1"/>
  <c r="Y8" i="3"/>
  <c r="Z8" i="3" s="1"/>
  <c r="O7" i="3"/>
  <c r="J25" i="2"/>
  <c r="O22" i="2"/>
  <c r="J22" i="2"/>
  <c r="O15" i="2"/>
  <c r="B7" i="6"/>
  <c r="Y9" i="3"/>
  <c r="J9" i="2"/>
  <c r="O8" i="3"/>
  <c r="E13" i="2"/>
  <c r="E25" i="2"/>
  <c r="O23" i="2"/>
  <c r="O10" i="3"/>
  <c r="P10" i="3" s="1"/>
  <c r="O10" i="2"/>
  <c r="E20" i="2"/>
  <c r="E17" i="2"/>
  <c r="Y7" i="3"/>
  <c r="Z7" i="3" s="1"/>
  <c r="C13" i="5"/>
  <c r="O25" i="2"/>
  <c r="D8" i="6"/>
  <c r="O24" i="2"/>
  <c r="O20" i="2"/>
  <c r="O16" i="2"/>
  <c r="O12" i="2"/>
  <c r="O8" i="2"/>
  <c r="O9" i="2"/>
  <c r="O26" i="2"/>
  <c r="O21" i="2"/>
  <c r="O17" i="2"/>
  <c r="O13" i="2"/>
  <c r="E9" i="3"/>
  <c r="F9" i="3" s="1"/>
  <c r="E22" i="4"/>
  <c r="E9" i="4"/>
  <c r="C12" i="5"/>
  <c r="D7" i="6"/>
  <c r="O9" i="3"/>
  <c r="J17" i="2"/>
  <c r="O11" i="2"/>
  <c r="J14" i="2"/>
  <c r="C8" i="6"/>
  <c r="J23" i="2"/>
  <c r="J19" i="2"/>
  <c r="J15" i="2"/>
  <c r="J27" i="2"/>
  <c r="J24" i="2"/>
  <c r="J20" i="2"/>
  <c r="J16" i="2"/>
  <c r="J12" i="2"/>
  <c r="J8" i="2"/>
  <c r="C10" i="5"/>
  <c r="J26" i="2"/>
  <c r="O14" i="2"/>
  <c r="O18" i="2"/>
  <c r="J18" i="2"/>
  <c r="AB10" i="3"/>
  <c r="AA10" i="3"/>
  <c r="E10" i="3"/>
  <c r="F10" i="3" s="1"/>
  <c r="Y11" i="3"/>
  <c r="Z11" i="3" s="1"/>
  <c r="E11" i="3"/>
  <c r="F11" i="3" s="1"/>
  <c r="C7" i="5"/>
  <c r="E27" i="2"/>
  <c r="B8" i="6"/>
  <c r="E22" i="2"/>
  <c r="E18" i="2"/>
  <c r="E14" i="2"/>
  <c r="E10" i="2"/>
  <c r="E26" i="2"/>
  <c r="E15" i="2"/>
  <c r="E23" i="2"/>
  <c r="E19" i="2"/>
  <c r="E11" i="2"/>
  <c r="E8" i="3"/>
  <c r="E12" i="2"/>
  <c r="Z10" i="3"/>
  <c r="E24" i="2"/>
  <c r="J10" i="2"/>
  <c r="D23" i="4" l="1"/>
  <c r="C22" i="4"/>
  <c r="E8" i="6"/>
  <c r="E7" i="6"/>
  <c r="AC10" i="3"/>
  <c r="E15" i="4" s="1"/>
  <c r="E14" i="5" s="1"/>
  <c r="D18" i="4"/>
  <c r="D19" i="4" s="1"/>
  <c r="H10" i="5" s="1"/>
  <c r="C18" i="4"/>
  <c r="C19" i="4" s="1"/>
  <c r="D7" i="5" s="1"/>
  <c r="F8" i="6"/>
  <c r="G12" i="5"/>
  <c r="G18" i="7"/>
  <c r="E12" i="5"/>
  <c r="D12" i="5"/>
  <c r="H12" i="5"/>
  <c r="AA9" i="3"/>
  <c r="AB9" i="3"/>
  <c r="H11" i="3"/>
  <c r="G11" i="3"/>
  <c r="G19" i="7"/>
  <c r="Z9" i="3"/>
  <c r="Q11" i="3"/>
  <c r="R11" i="3"/>
  <c r="E18" i="4"/>
  <c r="E19" i="4" s="1"/>
  <c r="D13" i="5" s="1"/>
  <c r="G6" i="5"/>
  <c r="G12" i="7"/>
  <c r="E6" i="5"/>
  <c r="H6" i="5"/>
  <c r="H8" i="3"/>
  <c r="G8" i="3"/>
  <c r="R7" i="3"/>
  <c r="Q7" i="3"/>
  <c r="R9" i="3"/>
  <c r="Q9" i="3"/>
  <c r="H9" i="3"/>
  <c r="G9" i="3"/>
  <c r="R8" i="3"/>
  <c r="Q8" i="3"/>
  <c r="P7" i="3"/>
  <c r="F7" i="6"/>
  <c r="G13" i="7"/>
  <c r="AB7" i="3"/>
  <c r="AA7" i="3"/>
  <c r="F8" i="3"/>
  <c r="AA11" i="3"/>
  <c r="AB11" i="3"/>
  <c r="H10" i="3"/>
  <c r="G10" i="3"/>
  <c r="G16" i="7"/>
  <c r="P9" i="3"/>
  <c r="P8" i="3"/>
  <c r="AB8" i="3"/>
  <c r="AA8" i="3"/>
  <c r="R10" i="3"/>
  <c r="Q10" i="3"/>
  <c r="G7" i="3"/>
  <c r="H7" i="3"/>
  <c r="G15" i="7"/>
  <c r="H9" i="5"/>
  <c r="D9" i="5"/>
  <c r="E9" i="5"/>
  <c r="G9" i="5"/>
  <c r="E7" i="5" l="1"/>
  <c r="F7" i="5" s="1"/>
  <c r="D10" i="5"/>
  <c r="E10" i="5"/>
  <c r="H7" i="5"/>
  <c r="G10" i="5"/>
  <c r="D16" i="7" s="1"/>
  <c r="G7" i="5"/>
  <c r="G13" i="5"/>
  <c r="F9" i="5"/>
  <c r="AC8" i="3"/>
  <c r="E13" i="4" s="1"/>
  <c r="F12" i="5"/>
  <c r="I9" i="5"/>
  <c r="C13" i="6" s="1"/>
  <c r="S11" i="3"/>
  <c r="D16" i="4" s="1"/>
  <c r="H11" i="5" s="1"/>
  <c r="H13" i="5"/>
  <c r="S9" i="3"/>
  <c r="D14" i="4" s="1"/>
  <c r="C11" i="5" s="1"/>
  <c r="G17" i="7" s="1"/>
  <c r="F6" i="5"/>
  <c r="E13" i="5"/>
  <c r="C19" i="7" s="1"/>
  <c r="I12" i="5"/>
  <c r="D13" i="6" s="1"/>
  <c r="AC11" i="3"/>
  <c r="E16" i="4" s="1"/>
  <c r="H14" i="5" s="1"/>
  <c r="B13" i="3"/>
  <c r="I7" i="3"/>
  <c r="C12" i="4" s="1"/>
  <c r="G8" i="5" s="1"/>
  <c r="L13" i="3"/>
  <c r="S7" i="3"/>
  <c r="D12" i="4" s="1"/>
  <c r="G11" i="5" s="1"/>
  <c r="L6" i="5"/>
  <c r="D12" i="7"/>
  <c r="F12" i="7"/>
  <c r="H12" i="7" s="1"/>
  <c r="S10" i="3"/>
  <c r="D15" i="4" s="1"/>
  <c r="AC7" i="3"/>
  <c r="E12" i="4" s="1"/>
  <c r="G14" i="5" s="1"/>
  <c r="V13" i="3"/>
  <c r="C18" i="7"/>
  <c r="J12" i="5"/>
  <c r="K12" i="5" s="1"/>
  <c r="S8" i="3"/>
  <c r="D13" i="4" s="1"/>
  <c r="D11" i="5" s="1"/>
  <c r="AC9" i="3"/>
  <c r="E14" i="4" s="1"/>
  <c r="C14" i="5" s="1"/>
  <c r="G20" i="7" s="1"/>
  <c r="D15" i="7"/>
  <c r="L9" i="5"/>
  <c r="F15" i="7"/>
  <c r="H15" i="7" s="1"/>
  <c r="I8" i="3"/>
  <c r="C13" i="4" s="1"/>
  <c r="D8" i="5" s="1"/>
  <c r="L10" i="5"/>
  <c r="J9" i="5"/>
  <c r="K9" i="5" s="1"/>
  <c r="C15" i="7"/>
  <c r="I10" i="3"/>
  <c r="C15" i="4" s="1"/>
  <c r="I9" i="3"/>
  <c r="C14" i="4" s="1"/>
  <c r="C8" i="5" s="1"/>
  <c r="G14" i="7" s="1"/>
  <c r="I6" i="5"/>
  <c r="B13" i="6" s="1"/>
  <c r="I11" i="3"/>
  <c r="C16" i="4" s="1"/>
  <c r="H8" i="5" s="1"/>
  <c r="L12" i="5"/>
  <c r="D18" i="7"/>
  <c r="F18" i="7"/>
  <c r="H18" i="7" s="1"/>
  <c r="J7" i="5"/>
  <c r="K7" i="5" s="1"/>
  <c r="C13" i="7"/>
  <c r="C12" i="7"/>
  <c r="J6" i="5"/>
  <c r="K6" i="5" s="1"/>
  <c r="E13" i="6" l="1"/>
  <c r="D13" i="7"/>
  <c r="C16" i="7"/>
  <c r="F16" i="7"/>
  <c r="H16" i="7" s="1"/>
  <c r="I10" i="5"/>
  <c r="C14" i="6" s="1"/>
  <c r="I8" i="5"/>
  <c r="B15" i="6" s="1"/>
  <c r="F13" i="7"/>
  <c r="H13" i="7" s="1"/>
  <c r="F10" i="5"/>
  <c r="L7" i="5"/>
  <c r="N7" i="5" s="1"/>
  <c r="J10" i="5"/>
  <c r="K10" i="5" s="1"/>
  <c r="I7" i="5"/>
  <c r="B14" i="6" s="1"/>
  <c r="I11" i="5"/>
  <c r="C15" i="6" s="1"/>
  <c r="F13" i="6"/>
  <c r="J13" i="5"/>
  <c r="K13" i="5" s="1"/>
  <c r="F13" i="5"/>
  <c r="I13" i="5"/>
  <c r="D14" i="6" s="1"/>
  <c r="F19" i="7"/>
  <c r="H19" i="7" s="1"/>
  <c r="D14" i="5"/>
  <c r="F20" i="7" s="1"/>
  <c r="H20" i="7" s="1"/>
  <c r="E17" i="4"/>
  <c r="L13" i="5"/>
  <c r="M13" i="5" s="1"/>
  <c r="D21" i="6" s="1"/>
  <c r="D19" i="7"/>
  <c r="N10" i="5"/>
  <c r="M10" i="5"/>
  <c r="C21" i="6" s="1"/>
  <c r="D17" i="7"/>
  <c r="L11" i="5"/>
  <c r="F17" i="7"/>
  <c r="H17" i="7" s="1"/>
  <c r="D17" i="4"/>
  <c r="E11" i="5"/>
  <c r="F11" i="5" s="1"/>
  <c r="C17" i="4"/>
  <c r="E8" i="5"/>
  <c r="F8" i="5" s="1"/>
  <c r="N12" i="5"/>
  <c r="M12" i="5"/>
  <c r="D20" i="6" s="1"/>
  <c r="L8" i="5"/>
  <c r="D14" i="7"/>
  <c r="F14" i="7"/>
  <c r="H14" i="7" s="1"/>
  <c r="N9" i="5"/>
  <c r="M9" i="5"/>
  <c r="C20" i="6" s="1"/>
  <c r="I14" i="5"/>
  <c r="D15" i="6" s="1"/>
  <c r="L14" i="5"/>
  <c r="D20" i="7"/>
  <c r="N6" i="5"/>
  <c r="M6" i="5"/>
  <c r="B20" i="6" s="1"/>
  <c r="F20" i="6" s="1"/>
  <c r="E14" i="6" l="1"/>
  <c r="E15" i="6"/>
  <c r="M7" i="5"/>
  <c r="B21" i="6" s="1"/>
  <c r="F21" i="6" s="1"/>
  <c r="F15" i="6"/>
  <c r="F14" i="6"/>
  <c r="C17" i="7"/>
  <c r="J11" i="5"/>
  <c r="K11" i="5" s="1"/>
  <c r="E20" i="6"/>
  <c r="N13" i="5"/>
  <c r="J8" i="5"/>
  <c r="K8" i="5" s="1"/>
  <c r="C14" i="7"/>
  <c r="J14" i="5"/>
  <c r="K14" i="5" s="1"/>
  <c r="F14" i="5"/>
  <c r="C20" i="7"/>
  <c r="M11" i="5"/>
  <c r="C22" i="6" s="1"/>
  <c r="N11" i="5"/>
  <c r="N8" i="5"/>
  <c r="M8" i="5"/>
  <c r="B22" i="6" s="1"/>
  <c r="N14" i="5"/>
  <c r="M14" i="5"/>
  <c r="D22" i="6" s="1"/>
  <c r="E21" i="6" l="1"/>
  <c r="F22" i="6"/>
  <c r="E2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La varianza muestral mide la dispersión del conjunto de paramétricos, no la diferencia entre métodos.</t>
        </r>
      </text>
    </comment>
    <comment ref="A18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MAD = mediana de las desviaciones absolutas respecto de la mediana.</t>
        </r>
      </text>
    </comment>
    <comment ref="A2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El margen de error mide la precisión del promedio. No debe usarse por sí solo para aceptar o rechazar una obra.</t>
        </r>
      </text>
    </comment>
  </commentList>
</comments>
</file>

<file path=xl/sharedStrings.xml><?xml version="1.0" encoding="utf-8"?>
<sst xmlns="http://schemas.openxmlformats.org/spreadsheetml/2006/main" count="344" uniqueCount="205">
  <si>
    <t>Pruebas comparativas de métodos estadísticos — Auditor de cantidades</t>
  </si>
  <si>
    <t>Objetivo</t>
  </si>
  <si>
    <t>Comparar cómo reaccionan tres métodos de generación de rangos cuando el mismo tipo de paramétrico presenta una muestra homogénea, un valor atípico o una distribución asimétrica.</t>
  </si>
  <si>
    <t>Pasos de uso</t>
  </si>
  <si>
    <t>1</t>
  </si>
  <si>
    <t>Abra Datos_Prueba.</t>
  </si>
  <si>
    <t>Revise o sustituya las áreas y cantidades de las 20 obras. Solo modifique las celdas azules.</t>
  </si>
  <si>
    <t>2</t>
  </si>
  <si>
    <t>Revise el paramétrico.</t>
  </si>
  <si>
    <t>El paramétrico se calcula como Cantidad / Área construida en m³/m².</t>
  </si>
  <si>
    <t>3</t>
  </si>
  <si>
    <t>Consulte Percentiles.</t>
  </si>
  <si>
    <t>Se muestra paso a paso el cálculo inclusivo de P10, P25, P50, P75 y P90.</t>
  </si>
  <si>
    <t>4</t>
  </si>
  <si>
    <t>Consulte Cálculos.</t>
  </si>
  <si>
    <t>Compare media, mediana, varianza, desviación estándar, coeficiente de variación, MAD e intervalo de confianza.</t>
  </si>
  <si>
    <t>5</t>
  </si>
  <si>
    <t>Consulte Rangos_Métodos.</t>
  </si>
  <si>
    <t>Compare los rangos esperado y preventivo de los tres métodos.</t>
  </si>
  <si>
    <t>6</t>
  </si>
  <si>
    <t>Consulte Comparación.</t>
  </si>
  <si>
    <t>Revise la variación de los centros y de la amplitud de los rangos entre escenarios.</t>
  </si>
  <si>
    <t>7</t>
  </si>
  <si>
    <t>Use Evaluación.</t>
  </si>
  <si>
    <t>Ingrese el área y la cantidad de una obra nueva para ver cómo la clasifica cada método.</t>
  </si>
  <si>
    <t>Qué se compara realmente</t>
  </si>
  <si>
    <t>Aclaración</t>
  </si>
  <si>
    <t>La varianza es una propiedad de la muestra. Para comparar métodos, el archivo mide además: a) la variación del valor central entre escenarios, b) la variación del ancho de cada rango y c) el porcentaje de datos cubiertos por cada método.</t>
  </si>
  <si>
    <t>Métodos incluidos</t>
  </si>
  <si>
    <t>Media + desviación estándar</t>
  </si>
  <si>
    <t>Esperado: media ± 1s; preventivo: media ± 2s.</t>
  </si>
  <si>
    <t>Adecuado para muestras homogéneas y aproximadamente simétricas.</t>
  </si>
  <si>
    <t>Mediana + MAD ajustado</t>
  </si>
  <si>
    <t>Esperado: mediana ± 1MADa; preventivo: mediana ± 2MADa.</t>
  </si>
  <si>
    <t>Robusto ante valores extremos; útil con muestras pequeñas o irregulares.</t>
  </si>
  <si>
    <t>Mediana + percentiles</t>
  </si>
  <si>
    <t>Esperado: P25–P75; preventivo: P10–P90.</t>
  </si>
  <si>
    <t>Describe la distribución observada sin suponer normalidad.</t>
  </si>
  <si>
    <t>Convención de colores</t>
  </si>
  <si>
    <t>Azul</t>
  </si>
  <si>
    <t>Dato que el usuario puede modificar.</t>
  </si>
  <si>
    <t>Negro</t>
  </si>
  <si>
    <t>Fórmula o valor calculado.</t>
  </si>
  <si>
    <t>Verde</t>
  </si>
  <si>
    <t>Valor vinculado desde otra hoja.</t>
  </si>
  <si>
    <t>Morado</t>
  </si>
  <si>
    <t>Control o supuesto del modelo.</t>
  </si>
  <si>
    <t>Naranja</t>
  </si>
  <si>
    <t>Revisión o advertencia.</t>
  </si>
  <si>
    <t>Datos de prueba — Concreto estructural normalizado por área construida</t>
  </si>
  <si>
    <t>Los tres escenarios parten de obras comparables del mismo uso y sistema constructivo. Edite únicamente Área y Cantidad (celdas azules). El parámetro y la desviación absoluta se recalculan automáticamente.</t>
  </si>
  <si>
    <t>Escenario: Homogéneo — Valores concentrados y sin extremos importantes.</t>
  </si>
  <si>
    <t>Escenario: Con atípico — Misma base, pero una obra presenta un valor extremo.</t>
  </si>
  <si>
    <t>Escenario: Asimétrico — Cola superior: varias obras presentan parámetros crecientes.</t>
  </si>
  <si>
    <t>Obra</t>
  </si>
  <si>
    <t>Área construida (m²)</t>
  </si>
  <si>
    <t>Cantidad concreto (m³)</t>
  </si>
  <si>
    <t>Parámetro (m³/m²)</t>
  </si>
  <si>
    <t>|Parámetro - Mediana|</t>
  </si>
  <si>
    <t>Obra 01</t>
  </si>
  <si>
    <t>Obra 02</t>
  </si>
  <si>
    <t>Obra 03</t>
  </si>
  <si>
    <t>Obra 04</t>
  </si>
  <si>
    <t>Obra 05</t>
  </si>
  <si>
    <t>Obra 06</t>
  </si>
  <si>
    <t>Obra 07</t>
  </si>
  <si>
    <t>Obra 08</t>
  </si>
  <si>
    <t>Obra 09</t>
  </si>
  <si>
    <t>Obra 10</t>
  </si>
  <si>
    <t>Obra 11</t>
  </si>
  <si>
    <t>Obra 12</t>
  </si>
  <si>
    <t>Obra 13</t>
  </si>
  <si>
    <t>Obra 14</t>
  </si>
  <si>
    <t>Obra 15</t>
  </si>
  <si>
    <t>Obra 16</t>
  </si>
  <si>
    <t>Obra 17</t>
  </si>
  <si>
    <t>Obra 18</t>
  </si>
  <si>
    <t>Obra 19</t>
  </si>
  <si>
    <t>Obra 20</t>
  </si>
  <si>
    <t>Cálculo detallado de percentiles inclusivos</t>
  </si>
  <si>
    <t>Método inclusivo: posición = 1 + (n - 1) × k. Cuando la posición no es entera, se interpola entre el valor inferior y el superior. Las fórmulas son visibles para facilitar las pruebas.</t>
  </si>
  <si>
    <t>Escenario: Homogéneo</t>
  </si>
  <si>
    <t>Escenario: Con atípico</t>
  </si>
  <si>
    <t>Escenario: Asimétrico</t>
  </si>
  <si>
    <t>Percentil</t>
  </si>
  <si>
    <t>k</t>
  </si>
  <si>
    <t>n</t>
  </si>
  <si>
    <t>Posición</t>
  </si>
  <si>
    <t>Índice inferior</t>
  </si>
  <si>
    <t>Fracción</t>
  </si>
  <si>
    <t>Valor inferior</t>
  </si>
  <si>
    <t>Valor superior</t>
  </si>
  <si>
    <t>Resultado</t>
  </si>
  <si>
    <t>P10</t>
  </si>
  <si>
    <t>P25</t>
  </si>
  <si>
    <t>P50</t>
  </si>
  <si>
    <t>P75</t>
  </si>
  <si>
    <t>P90</t>
  </si>
  <si>
    <t>Fórmula Excel del resultado</t>
  </si>
  <si>
    <t>Estadística descriptiva por escenario</t>
  </si>
  <si>
    <t>Los resultados se calculan sobre el paramétrico m³ de concreto / m² construido.</t>
  </si>
  <si>
    <t>Indicador</t>
  </si>
  <si>
    <t>Fórmula conceptual</t>
  </si>
  <si>
    <t>Homogéneo</t>
  </si>
  <si>
    <t>Con atípico</t>
  </si>
  <si>
    <t>Asimétrico</t>
  </si>
  <si>
    <t>Controles del modelo</t>
  </si>
  <si>
    <t>Número de obras</t>
  </si>
  <si>
    <t>Media</t>
  </si>
  <si>
    <t>Σx / n</t>
  </si>
  <si>
    <t>z aproximado para 95%</t>
  </si>
  <si>
    <t>Varianza muestral</t>
  </si>
  <si>
    <t>Σ(x - media)² / (n - 1)</t>
  </si>
  <si>
    <t>Factor de ajuste MAD</t>
  </si>
  <si>
    <t>Desviación estándar</t>
  </si>
  <si>
    <t>√Varianza</t>
  </si>
  <si>
    <t>Mediana</t>
  </si>
  <si>
    <t>Valor central ordenado</t>
  </si>
  <si>
    <t>Nota</t>
  </si>
  <si>
    <t>El IC del promedio no es un rango de aceptación para una obra individual.</t>
  </si>
  <si>
    <t>Coeficiente de variación</t>
  </si>
  <si>
    <t>s / media</t>
  </si>
  <si>
    <t>Mínimo</t>
  </si>
  <si>
    <t>Menor valor</t>
  </si>
  <si>
    <t>Máximo</t>
  </si>
  <si>
    <t>Mayor valor</t>
  </si>
  <si>
    <t>Percentil inclusivo 10%</t>
  </si>
  <si>
    <t>Percentil inclusivo 25%</t>
  </si>
  <si>
    <t>Percentil inclusivo 50%</t>
  </si>
  <si>
    <t>Percentil inclusivo 75%</t>
  </si>
  <si>
    <t>Percentil inclusivo 90%</t>
  </si>
  <si>
    <t>Rango intercuartílico (IQR)</t>
  </si>
  <si>
    <t>P75 - P25</t>
  </si>
  <si>
    <t>MAD</t>
  </si>
  <si>
    <t>Mediana(|x - mediana|)</t>
  </si>
  <si>
    <t>MAD ajustado</t>
  </si>
  <si>
    <t>MAD × factor de ajuste</t>
  </si>
  <si>
    <t>Error estándar</t>
  </si>
  <si>
    <t>s / √n</t>
  </si>
  <si>
    <t>Margen de error 95%</t>
  </si>
  <si>
    <t>z × error estándar</t>
  </si>
  <si>
    <t>IC media 95% — inferior</t>
  </si>
  <si>
    <t>media - margen de error</t>
  </si>
  <si>
    <t>IC media 95% — superior</t>
  </si>
  <si>
    <t>media + margen de error</t>
  </si>
  <si>
    <t>Comparación de rangos por método y escenario</t>
  </si>
  <si>
    <t>Cada método genera una banda esperada y una banda preventiva. La cobertura indica qué porcentaje de la muestra queda dentro del rango. Las diferencias de amplitud permiten evaluar la sensibilidad de cada método.</t>
  </si>
  <si>
    <t>Escenario</t>
  </si>
  <si>
    <t>Método</t>
  </si>
  <si>
    <t>Centro</t>
  </si>
  <si>
    <t>Límite esperado inferior</t>
  </si>
  <si>
    <t>Límite esperado superior</t>
  </si>
  <si>
    <t>Ancho esperado</t>
  </si>
  <si>
    <t>Límite preventivo inferior</t>
  </si>
  <si>
    <t>Límite preventivo superior</t>
  </si>
  <si>
    <t>Ancho preventivo</t>
  </si>
  <si>
    <t>Datos dentro esperado</t>
  </si>
  <si>
    <t>Cobertura esperada</t>
  </si>
  <si>
    <t>Datos dentro preventivo</t>
  </si>
  <si>
    <t>Cobertura preventiva</t>
  </si>
  <si>
    <t>Fuera preventivo</t>
  </si>
  <si>
    <t>Adecuación al ejemplo</t>
  </si>
  <si>
    <t>Uso sugerido</t>
  </si>
  <si>
    <t>Alta</t>
  </si>
  <si>
    <t>Muestras homogéneas y aproximadamente simétricas.</t>
  </si>
  <si>
    <t>Muestras pequeñas o con valores extremos.</t>
  </si>
  <si>
    <t>Distribuciones asimétricas con muestra suficiente.</t>
  </si>
  <si>
    <t>Baja</t>
  </si>
  <si>
    <t>Sensibilidad y estabilidad de los métodos</t>
  </si>
  <si>
    <t>Una varianza menor entre escenarios indica que el resultado del método cambia menos cuando aparecen atípicos o asimetría. No significa automáticamente que el método sea el correcto: debe evaluarse junto con la homogeneidad y la naturaleza del concepto.</t>
  </si>
  <si>
    <t>A. Sensibilidad del valor central</t>
  </si>
  <si>
    <t>Lectura recomendada</t>
  </si>
  <si>
    <t>Estimador</t>
  </si>
  <si>
    <t>Varianza entre escenarios</t>
  </si>
  <si>
    <t>Cambio máximo vs. homogéneo</t>
  </si>
  <si>
    <t>Observe cuánto aumenta con el atípico; una variación alta confirma sensibilidad.</t>
  </si>
  <si>
    <t>Debe mantenerse más estable cuando cambia solo un valor extremo.</t>
  </si>
  <si>
    <t>Ancho ±2s</t>
  </si>
  <si>
    <t>Puede crecer mucho por un atípico, reduciendo la capacidad de detectar errores.</t>
  </si>
  <si>
    <t>Ancho ±2MADa</t>
  </si>
  <si>
    <t>Suele permanecer estable, aunque puede ser estrecho si muchos valores se repiten.</t>
  </si>
  <si>
    <t>P10–P90</t>
  </si>
  <si>
    <t>Se adapta a la forma observada, pero requiere una muestra suficiente.</t>
  </si>
  <si>
    <t>B. Sensibilidad del ancho del rango preventivo</t>
  </si>
  <si>
    <t>Media ± 2s</t>
  </si>
  <si>
    <t>Mediana ± 2MADa</t>
  </si>
  <si>
    <t>P10 – P90</t>
  </si>
  <si>
    <t>C. Cobertura preventiva de la muestra</t>
  </si>
  <si>
    <t>Promedio cobertura</t>
  </si>
  <si>
    <t>Variación de cobertura</t>
  </si>
  <si>
    <t>Prueba de una obra nueva contra todos los métodos</t>
  </si>
  <si>
    <t>Datos de entrada</t>
  </si>
  <si>
    <t>Área construida nueva (m²)</t>
  </si>
  <si>
    <t>Lectura</t>
  </si>
  <si>
    <t>Cantidad de concreto nueva (m³)</t>
  </si>
  <si>
    <t>Correcto: dentro del rango esperado.</t>
  </si>
  <si>
    <t>Parámetro calculado (m³/m²)</t>
  </si>
  <si>
    <t>Revisar: fuera del esperado, pero dentro del preventivo.</t>
  </si>
  <si>
    <t>Crítico: fuera del rango preventivo.</t>
  </si>
  <si>
    <t>Rango esperado</t>
  </si>
  <si>
    <t>Rango preventivo</t>
  </si>
  <si>
    <t>Valor obra</t>
  </si>
  <si>
    <t>Estado</t>
  </si>
  <si>
    <t>Diferencia vs. centro</t>
  </si>
  <si>
    <t>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</si>
</sst>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%"/>
    <numFmt numFmtId="167" formatCode="0.000000"/>
  </numFmts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b/>
      <sz val="12"/>
      <color rgb="FF17365D"/>
      <name val="Calibri"/>
    </font>
    <font>
      <b/>
      <sz val="11"/>
      <color rgb="FFFFFFFF"/>
      <name val="Aptos"/>
    </font>
    <font>
      <b/>
      <sz val="11"/>
      <color rgb="FFFFFFFF"/>
      <name val="Calibri"/>
    </font>
    <font>
      <b/>
      <sz val="11"/>
      <color rgb="FF17365D"/>
      <name val="Calibri"/>
    </font>
    <font>
      <b/>
      <sz val="11"/>
      <color rgb="FFC00000"/>
      <name val="Calibri"/>
    </font>
    <font>
      <b/>
      <sz val="11"/>
      <color rgb="FF0000FF"/>
      <name val="Calibri"/>
    </font>
    <font>
      <b/>
      <sz val="11"/>
      <color rgb="FF000000"/>
      <name val="Calibri"/>
    </font>
    <font>
      <b/>
      <sz val="11"/>
      <color rgb="FF008000"/>
      <name val="Calibri"/>
    </font>
    <font>
      <b/>
      <sz val="11"/>
      <color rgb="FF7030A0"/>
      <name val="Calibri"/>
    </font>
    <font>
      <b/>
      <sz val="11"/>
      <color rgb="FF9C6500"/>
      <name val="Calibri"/>
    </font>
    <font>
      <b/>
      <sz val="10"/>
      <color rgb="FFFFFFFF"/>
      <name val="Aptos"/>
    </font>
    <font>
      <sz val="10"/>
      <color rgb="FF0000FF"/>
      <name val="Aptos"/>
    </font>
    <font>
      <sz val="10"/>
      <color rgb="FF000000"/>
      <name val="Aptos"/>
    </font>
    <font>
      <sz val="9"/>
      <color rgb="FF595959"/>
      <name val="Consolas"/>
    </font>
    <font>
      <sz val="10"/>
      <color rgb="FF7030A0"/>
      <name val="Aptos"/>
    </font>
    <font>
      <sz val="10"/>
      <color theme="1"/>
      <name val="Aptos"/>
    </font>
  </fonts>
  <fills count="1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0F6B78"/>
      </patternFill>
    </fill>
    <fill>
      <patternFill patternType="solid">
        <fgColor rgb="FFFCE4D6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E4DFEC"/>
      </patternFill>
    </fill>
    <fill>
      <patternFill patternType="solid">
        <fgColor rgb="FFF7F9FB"/>
      </patternFill>
    </fill>
    <fill>
      <patternFill patternType="solid">
        <fgColor rgb="FFF4B183"/>
      </patternFill>
    </fill>
    <fill>
      <patternFill patternType="solid">
        <fgColor rgb="FF7030A0"/>
      </patternFill>
    </fill>
    <fill>
      <patternFill patternType="solid">
        <fgColor rgb="FFE2F0D9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C9D1D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4" fillId="5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7" borderId="0" xfId="0" applyFont="1" applyFill="1"/>
    <xf numFmtId="0" fontId="8" fillId="8" borderId="0" xfId="0" applyFont="1" applyFill="1"/>
    <xf numFmtId="0" fontId="9" fillId="8" borderId="0" xfId="0" applyFont="1" applyFill="1"/>
    <xf numFmtId="0" fontId="10" fillId="9" borderId="0" xfId="0" applyFont="1" applyFill="1"/>
    <xf numFmtId="0" fontId="11" fillId="6" borderId="0" xfId="0" applyFont="1" applyFill="1"/>
    <xf numFmtId="0" fontId="12" fillId="5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4" fontId="13" fillId="7" borderId="2" xfId="0" applyNumberFormat="1" applyFont="1" applyFill="1" applyBorder="1" applyAlignment="1">
      <alignment vertical="center" wrapText="1"/>
    </xf>
    <xf numFmtId="164" fontId="14" fillId="0" borderId="2" xfId="0" applyNumberFormat="1" applyFont="1" applyBorder="1" applyAlignment="1">
      <alignment vertical="center" wrapText="1"/>
    </xf>
    <xf numFmtId="0" fontId="14" fillId="10" borderId="2" xfId="0" applyFont="1" applyFill="1" applyBorder="1" applyAlignment="1">
      <alignment vertical="center" wrapText="1"/>
    </xf>
    <xf numFmtId="164" fontId="14" fillId="10" borderId="2" xfId="0" applyNumberFormat="1" applyFont="1" applyFill="1" applyBorder="1" applyAlignment="1">
      <alignment vertical="center" wrapText="1"/>
    </xf>
    <xf numFmtId="9" fontId="14" fillId="0" borderId="2" xfId="0" applyNumberFormat="1" applyFont="1" applyBorder="1" applyAlignment="1">
      <alignment vertical="center" wrapText="1"/>
    </xf>
    <xf numFmtId="165" fontId="14" fillId="0" borderId="2" xfId="0" applyNumberFormat="1" applyFont="1" applyBorder="1" applyAlignment="1">
      <alignment vertical="center" wrapText="1"/>
    </xf>
    <xf numFmtId="9" fontId="14" fillId="10" borderId="2" xfId="0" applyNumberFormat="1" applyFont="1" applyFill="1" applyBorder="1" applyAlignment="1">
      <alignment vertical="center" wrapText="1"/>
    </xf>
    <xf numFmtId="165" fontId="14" fillId="10" borderId="2" xfId="0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1" fontId="14" fillId="0" borderId="2" xfId="0" applyNumberFormat="1" applyFont="1" applyBorder="1" applyAlignment="1">
      <alignment vertical="center" wrapText="1"/>
    </xf>
    <xf numFmtId="0" fontId="10" fillId="0" borderId="0" xfId="0" applyFont="1"/>
    <xf numFmtId="164" fontId="16" fillId="9" borderId="0" xfId="0" applyNumberFormat="1" applyFont="1" applyFill="1"/>
    <xf numFmtId="166" fontId="14" fillId="10" borderId="2" xfId="0" applyNumberFormat="1" applyFont="1" applyFill="1" applyBorder="1" applyAlignment="1">
      <alignment vertical="center" wrapText="1"/>
    </xf>
    <xf numFmtId="166" fontId="14" fillId="0" borderId="2" xfId="0" applyNumberFormat="1" applyFont="1" applyBorder="1" applyAlignment="1">
      <alignment vertical="center" wrapText="1"/>
    </xf>
    <xf numFmtId="1" fontId="14" fillId="10" borderId="2" xfId="0" applyNumberFormat="1" applyFont="1" applyFill="1" applyBorder="1" applyAlignment="1">
      <alignment vertical="center" wrapText="1"/>
    </xf>
    <xf numFmtId="167" fontId="14" fillId="0" borderId="2" xfId="0" applyNumberFormat="1" applyFont="1" applyBorder="1" applyAlignment="1">
      <alignment vertical="center" wrapText="1"/>
    </xf>
    <xf numFmtId="167" fontId="14" fillId="10" borderId="2" xfId="0" applyNumberFormat="1" applyFont="1" applyFill="1" applyBorder="1" applyAlignment="1">
      <alignment vertical="center" wrapText="1"/>
    </xf>
    <xf numFmtId="4" fontId="13" fillId="7" borderId="0" xfId="0" applyNumberFormat="1" applyFont="1" applyFill="1"/>
    <xf numFmtId="164" fontId="14" fillId="0" borderId="0" xfId="0" applyNumberFormat="1" applyFont="1"/>
    <xf numFmtId="0" fontId="17" fillId="0" borderId="0" xfId="0" applyFont="1" applyAlignment="1">
      <alignment wrapText="1"/>
    </xf>
    <xf numFmtId="0" fontId="0" fillId="0" borderId="0" xfId="0"/>
    <xf numFmtId="0" fontId="17" fillId="6" borderId="0" xfId="0" applyFont="1" applyFill="1" applyAlignment="1">
      <alignment vertical="top" wrapText="1"/>
    </xf>
    <xf numFmtId="0" fontId="17" fillId="0" borderId="0" xfId="0" applyFont="1"/>
    <xf numFmtId="0" fontId="1" fillId="2" borderId="0" xfId="0" applyFont="1" applyFill="1" applyAlignment="1">
      <alignment horizontal="left" vertical="center"/>
    </xf>
    <xf numFmtId="0" fontId="17" fillId="3" borderId="0" xfId="0" applyFont="1" applyFill="1" applyAlignment="1">
      <alignment vertical="top" wrapText="1"/>
    </xf>
    <xf numFmtId="0" fontId="3" fillId="4" borderId="0" xfId="0" applyFont="1" applyFill="1" applyAlignment="1">
      <alignment horizontal="left" vertical="center"/>
    </xf>
    <xf numFmtId="0" fontId="17" fillId="3" borderId="0" xfId="0" applyFont="1" applyFill="1" applyAlignment="1">
      <alignment vertical="center" wrapText="1"/>
    </xf>
    <xf numFmtId="0" fontId="3" fillId="11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15" fillId="0" borderId="0" xfId="0" applyFont="1" applyAlignment="1">
      <alignment vertical="center" wrapText="1"/>
    </xf>
    <xf numFmtId="0" fontId="17" fillId="3" borderId="0" xfId="0" applyFont="1" applyFill="1" applyAlignment="1">
      <alignment wrapText="1"/>
    </xf>
    <xf numFmtId="0" fontId="17" fillId="14" borderId="0" xfId="0" applyFont="1" applyFill="1"/>
    <xf numFmtId="0" fontId="17" fillId="13" borderId="0" xfId="0" applyFont="1" applyFill="1"/>
    <xf numFmtId="0" fontId="17" fillId="6" borderId="0" xfId="0" applyFont="1" applyFill="1"/>
  </cellXfs>
  <cellStyles count="1">
    <cellStyle name="Normal" xfId="0" builtinId="0"/>
  </cellStyles>
  <dxfs count="9">
    <dxf>
      <font>
        <b/>
        <color rgb="FF9C0006"/>
      </font>
      <fill>
        <patternFill patternType="solid">
          <fgColor rgb="FFF4CCCC"/>
        </patternFill>
      </fill>
    </dxf>
    <dxf>
      <font>
        <b/>
        <color rgb="FF9C6500"/>
      </font>
      <fill>
        <patternFill patternType="solid">
          <fgColor rgb="FFFCE4D6"/>
        </patternFill>
      </fill>
    </dxf>
    <dxf>
      <font>
        <b/>
        <color rgb="FF006100"/>
      </font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Ancho preventivo por método y escenario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Comparación!$B$12</c:f>
              <c:strCache>
                <c:ptCount val="1"/>
                <c:pt idx="0">
                  <c:v>Homogéneo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Comparación!$A$13:$A$15</c:f>
              <c:strCache>
                <c:ptCount val="3"/>
                <c:pt idx="0">
                  <c:v>Media ± 2s</c:v>
                </c:pt>
                <c:pt idx="1">
                  <c:v>Mediana ± 2MADa</c:v>
                </c:pt>
                <c:pt idx="2">
                  <c:v>P10 – P90</c:v>
                </c:pt>
              </c:strCache>
            </c:strRef>
          </c:cat>
          <c:val>
            <c:numRef>
              <c:f>Comparación!$B$13:$B$15</c:f>
              <c:numCache>
                <c:formatCode>0.000000</c:formatCode>
                <c:ptCount val="3"/>
                <c:pt idx="0">
                  <c:v>2.749621983588213E-2</c:v>
                </c:pt>
                <c:pt idx="1">
                  <c:v>2.9652000000000123E-2</c:v>
                </c:pt>
                <c:pt idx="2">
                  <c:v>1.730000000000001E-2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9-40FF-92AD-FF083C1F0EB3}"/>
            </c:ext>
          </c:extLst>
        </c:ser>
        <c:ser>
          <c:idx val="1"/>
          <c:order val="1"/>
          <c:tx>
            <c:strRef>
              <c:f>Comparación!$C$12</c:f>
              <c:strCache>
                <c:ptCount val="1"/>
                <c:pt idx="0">
                  <c:v>Con atípico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Comparación!$A$13:$A$15</c:f>
              <c:strCache>
                <c:ptCount val="3"/>
                <c:pt idx="0">
                  <c:v>Media ± 2s</c:v>
                </c:pt>
                <c:pt idx="1">
                  <c:v>Mediana ± 2MADa</c:v>
                </c:pt>
                <c:pt idx="2">
                  <c:v>P10 – P90</c:v>
                </c:pt>
              </c:strCache>
            </c:strRef>
          </c:cat>
          <c:val>
            <c:numRef>
              <c:f>Comparación!$C$13:$C$15</c:f>
              <c:numCache>
                <c:formatCode>0.000000</c:formatCode>
                <c:ptCount val="3"/>
                <c:pt idx="0">
                  <c:v>0.12665144876267487</c:v>
                </c:pt>
                <c:pt idx="1">
                  <c:v>2.9652000000000123E-2</c:v>
                </c:pt>
                <c:pt idx="2">
                  <c:v>1.730000000000001E-2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39-40FF-92AD-FF083C1F0EB3}"/>
            </c:ext>
          </c:extLst>
        </c:ser>
        <c:ser>
          <c:idx val="2"/>
          <c:order val="2"/>
          <c:tx>
            <c:strRef>
              <c:f>Comparación!$D$12</c:f>
              <c:strCache>
                <c:ptCount val="1"/>
                <c:pt idx="0">
                  <c:v>Asimétrico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Comparación!$A$13:$A$15</c:f>
              <c:strCache>
                <c:ptCount val="3"/>
                <c:pt idx="0">
                  <c:v>Media ± 2s</c:v>
                </c:pt>
                <c:pt idx="1">
                  <c:v>Mediana ± 2MADa</c:v>
                </c:pt>
                <c:pt idx="2">
                  <c:v>P10 – P90</c:v>
                </c:pt>
              </c:strCache>
            </c:strRef>
          </c:cat>
          <c:val>
            <c:numRef>
              <c:f>Comparación!$D$13:$D$15</c:f>
              <c:numCache>
                <c:formatCode>0.000000</c:formatCode>
                <c:ptCount val="3"/>
                <c:pt idx="0">
                  <c:v>0.12071000481798523</c:v>
                </c:pt>
                <c:pt idx="1">
                  <c:v>3.2617199999999957E-2</c:v>
                </c:pt>
                <c:pt idx="2">
                  <c:v>5.4700000000000026E-2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39-40FF-92AD-FF083C1F0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Método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Ancho del rango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MX"/>
              <a:t>Valor central por escenario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Comparación!$B$6</c:f>
              <c:strCache>
                <c:ptCount val="1"/>
                <c:pt idx="0">
                  <c:v>Homogéneo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Comparación!$A$7:$A$8</c:f>
              <c:strCache>
                <c:ptCount val="2"/>
                <c:pt idx="0">
                  <c:v>Media</c:v>
                </c:pt>
                <c:pt idx="1">
                  <c:v>Mediana</c:v>
                </c:pt>
              </c:strCache>
            </c:strRef>
          </c:cat>
          <c:val>
            <c:numRef>
              <c:f>Comparación!$B$7:$B$8</c:f>
              <c:numCache>
                <c:formatCode>0.000000</c:formatCode>
                <c:ptCount val="2"/>
                <c:pt idx="0">
                  <c:v>0.16189999999999999</c:v>
                </c:pt>
                <c:pt idx="1">
                  <c:v>0.16249999999999998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D2-4D15-91CF-2C86316C1AD5}"/>
            </c:ext>
          </c:extLst>
        </c:ser>
        <c:ser>
          <c:idx val="1"/>
          <c:order val="1"/>
          <c:tx>
            <c:strRef>
              <c:f>Comparación!$C$6</c:f>
              <c:strCache>
                <c:ptCount val="1"/>
                <c:pt idx="0">
                  <c:v>Con atípico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Comparación!$A$7:$A$8</c:f>
              <c:strCache>
                <c:ptCount val="2"/>
                <c:pt idx="0">
                  <c:v>Media</c:v>
                </c:pt>
                <c:pt idx="1">
                  <c:v>Mediana</c:v>
                </c:pt>
              </c:strCache>
            </c:strRef>
          </c:cat>
          <c:val>
            <c:numRef>
              <c:f>Comparación!$C$7:$C$8</c:f>
              <c:numCache>
                <c:formatCode>0.000000</c:formatCode>
                <c:ptCount val="2"/>
                <c:pt idx="0">
                  <c:v>0.16829999999999995</c:v>
                </c:pt>
                <c:pt idx="1">
                  <c:v>0.16249999999999998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D2-4D15-91CF-2C86316C1AD5}"/>
            </c:ext>
          </c:extLst>
        </c:ser>
        <c:ser>
          <c:idx val="2"/>
          <c:order val="2"/>
          <c:tx>
            <c:strRef>
              <c:f>Comparación!$D$6</c:f>
              <c:strCache>
                <c:ptCount val="1"/>
                <c:pt idx="0">
                  <c:v>Asimétrico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Comparación!$A$7:$A$8</c:f>
              <c:strCache>
                <c:ptCount val="2"/>
                <c:pt idx="0">
                  <c:v>Media</c:v>
                </c:pt>
                <c:pt idx="1">
                  <c:v>Mediana</c:v>
                </c:pt>
              </c:strCache>
            </c:strRef>
          </c:cat>
          <c:val>
            <c:numRef>
              <c:f>Comparación!$D$7:$D$8</c:f>
              <c:numCache>
                <c:formatCode>0.000000</c:formatCode>
                <c:ptCount val="2"/>
                <c:pt idx="0">
                  <c:v>0.17304999999999998</c:v>
                </c:pt>
                <c:pt idx="1">
                  <c:v>0.16249999999999998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D2-4D15-91CF-2C86316C1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Estimador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Parámetro m³/m²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12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218325</xdr:colOff>
      <xdr:row>28</xdr:row>
      <xdr:rowOff>0</xdr:rowOff>
    </xdr:from>
    <xdr:ext cx="5860551" cy="3369068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A1:H32"/>
  <sheetViews>
    <sheetView showGridLines="0" workbookViewId="0">
      <pane ySplit="6" topLeftCell="A22" activePane="bottomLeft" state="frozen"/>
      <selection pane="bottomLeft"/>
    </sheetView>
  </sheetViews>
  <sheetFormatPr baseColWidth="10" defaultColWidth="8.83984375" defaultRowHeight="14.4" x14ac:dyDescent="0.55000000000000004"/>
  <cols>
    <col min="1" max="1" width="15" customWidth="1"/>
    <col min="2" max="2" width="25" customWidth="1"/>
    <col min="3" max="3" width="20" customWidth="1"/>
    <col min="4" max="4" width="16" customWidth="1"/>
    <col min="5" max="5" width="20" customWidth="1"/>
    <col min="6" max="8" width="16" customWidth="1"/>
  </cols>
  <sheetData>
    <row r="1" spans="1:8" ht="28" customHeight="1" x14ac:dyDescent="0.55000000000000004">
      <c r="A1" s="37" t="s">
        <v>0</v>
      </c>
      <c r="B1" s="34"/>
      <c r="C1" s="34"/>
      <c r="D1" s="34"/>
      <c r="E1" s="34"/>
      <c r="F1" s="34"/>
      <c r="G1" s="34"/>
      <c r="H1" s="34"/>
    </row>
    <row r="3" spans="1:8" ht="15.6" x14ac:dyDescent="0.6">
      <c r="A3" s="1" t="s">
        <v>1</v>
      </c>
    </row>
    <row r="4" spans="1:8" x14ac:dyDescent="0.55000000000000004">
      <c r="A4" s="38" t="s">
        <v>2</v>
      </c>
      <c r="B4" s="34"/>
      <c r="C4" s="34"/>
      <c r="D4" s="34"/>
      <c r="E4" s="34"/>
      <c r="F4" s="34"/>
      <c r="G4" s="34"/>
      <c r="H4" s="34"/>
    </row>
    <row r="5" spans="1:8" x14ac:dyDescent="0.55000000000000004">
      <c r="A5" s="34"/>
      <c r="B5" s="34"/>
      <c r="C5" s="34"/>
      <c r="D5" s="34"/>
      <c r="E5" s="34"/>
      <c r="F5" s="34"/>
      <c r="G5" s="34"/>
      <c r="H5" s="34"/>
    </row>
    <row r="7" spans="1:8" ht="22" customHeight="1" x14ac:dyDescent="0.55000000000000004">
      <c r="A7" s="39" t="s">
        <v>3</v>
      </c>
      <c r="B7" s="34"/>
      <c r="C7" s="34"/>
      <c r="D7" s="34"/>
      <c r="E7" s="34"/>
      <c r="F7" s="34"/>
      <c r="G7" s="34"/>
      <c r="H7" s="34"/>
    </row>
    <row r="8" spans="1:8" ht="28" customHeight="1" x14ac:dyDescent="0.55000000000000004">
      <c r="A8" s="2" t="s">
        <v>4</v>
      </c>
      <c r="B8" s="3" t="s">
        <v>5</v>
      </c>
      <c r="C8" s="33" t="s">
        <v>6</v>
      </c>
      <c r="D8" s="34"/>
      <c r="E8" s="34"/>
      <c r="F8" s="34"/>
      <c r="G8" s="34"/>
      <c r="H8" s="34"/>
    </row>
    <row r="9" spans="1:8" ht="28" customHeight="1" x14ac:dyDescent="0.55000000000000004">
      <c r="A9" s="2" t="s">
        <v>7</v>
      </c>
      <c r="B9" s="3" t="s">
        <v>8</v>
      </c>
      <c r="C9" s="33" t="s">
        <v>9</v>
      </c>
      <c r="D9" s="34"/>
      <c r="E9" s="34"/>
      <c r="F9" s="34"/>
      <c r="G9" s="34"/>
      <c r="H9" s="34"/>
    </row>
    <row r="10" spans="1:8" ht="28" customHeight="1" x14ac:dyDescent="0.55000000000000004">
      <c r="A10" s="2" t="s">
        <v>10</v>
      </c>
      <c r="B10" s="3" t="s">
        <v>11</v>
      </c>
      <c r="C10" s="33" t="s">
        <v>12</v>
      </c>
      <c r="D10" s="34"/>
      <c r="E10" s="34"/>
      <c r="F10" s="34"/>
      <c r="G10" s="34"/>
      <c r="H10" s="34"/>
    </row>
    <row r="11" spans="1:8" ht="28" customHeight="1" x14ac:dyDescent="0.55000000000000004">
      <c r="A11" s="2" t="s">
        <v>13</v>
      </c>
      <c r="B11" s="3" t="s">
        <v>14</v>
      </c>
      <c r="C11" s="33" t="s">
        <v>15</v>
      </c>
      <c r="D11" s="34"/>
      <c r="E11" s="34"/>
      <c r="F11" s="34"/>
      <c r="G11" s="34"/>
      <c r="H11" s="34"/>
    </row>
    <row r="12" spans="1:8" ht="28" customHeight="1" x14ac:dyDescent="0.55000000000000004">
      <c r="A12" s="2" t="s">
        <v>16</v>
      </c>
      <c r="B12" s="3" t="s">
        <v>17</v>
      </c>
      <c r="C12" s="33" t="s">
        <v>18</v>
      </c>
      <c r="D12" s="34"/>
      <c r="E12" s="34"/>
      <c r="F12" s="34"/>
      <c r="G12" s="34"/>
      <c r="H12" s="34"/>
    </row>
    <row r="13" spans="1:8" ht="28" customHeight="1" x14ac:dyDescent="0.55000000000000004">
      <c r="A13" s="2" t="s">
        <v>19</v>
      </c>
      <c r="B13" s="3" t="s">
        <v>20</v>
      </c>
      <c r="C13" s="33" t="s">
        <v>21</v>
      </c>
      <c r="D13" s="34"/>
      <c r="E13" s="34"/>
      <c r="F13" s="34"/>
      <c r="G13" s="34"/>
      <c r="H13" s="34"/>
    </row>
    <row r="14" spans="1:8" ht="28" customHeight="1" x14ac:dyDescent="0.55000000000000004">
      <c r="A14" s="2" t="s">
        <v>22</v>
      </c>
      <c r="B14" s="3" t="s">
        <v>23</v>
      </c>
      <c r="C14" s="33" t="s">
        <v>24</v>
      </c>
      <c r="D14" s="34"/>
      <c r="E14" s="34"/>
      <c r="F14" s="34"/>
      <c r="G14" s="34"/>
      <c r="H14" s="34"/>
    </row>
    <row r="17" spans="1:8" ht="22" customHeight="1" x14ac:dyDescent="0.55000000000000004">
      <c r="A17" s="39" t="s">
        <v>25</v>
      </c>
      <c r="B17" s="34"/>
      <c r="C17" s="34"/>
      <c r="D17" s="34"/>
      <c r="E17" s="34"/>
      <c r="F17" s="34"/>
      <c r="G17" s="34"/>
      <c r="H17" s="34"/>
    </row>
    <row r="18" spans="1:8" x14ac:dyDescent="0.55000000000000004">
      <c r="A18" s="4" t="s">
        <v>26</v>
      </c>
      <c r="B18" s="35" t="s">
        <v>27</v>
      </c>
      <c r="C18" s="34"/>
      <c r="D18" s="34"/>
      <c r="E18" s="34"/>
      <c r="F18" s="34"/>
      <c r="G18" s="34"/>
      <c r="H18" s="34"/>
    </row>
    <row r="19" spans="1:8" x14ac:dyDescent="0.55000000000000004">
      <c r="B19" s="34"/>
      <c r="C19" s="34"/>
      <c r="D19" s="34"/>
      <c r="E19" s="34"/>
      <c r="F19" s="34"/>
      <c r="G19" s="34"/>
      <c r="H19" s="34"/>
    </row>
    <row r="21" spans="1:8" ht="22" customHeight="1" x14ac:dyDescent="0.55000000000000004">
      <c r="A21" s="39" t="s">
        <v>28</v>
      </c>
      <c r="B21" s="34"/>
      <c r="C21" s="34"/>
      <c r="D21" s="34"/>
      <c r="E21" s="34"/>
      <c r="F21" s="34"/>
      <c r="G21" s="34"/>
      <c r="H21" s="34"/>
    </row>
    <row r="22" spans="1:8" ht="36" customHeight="1" x14ac:dyDescent="0.55000000000000004">
      <c r="A22" s="3" t="s">
        <v>29</v>
      </c>
      <c r="B22" s="33" t="s">
        <v>30</v>
      </c>
      <c r="C22" s="34"/>
      <c r="D22" s="34"/>
      <c r="E22" s="33" t="s">
        <v>31</v>
      </c>
      <c r="F22" s="34"/>
      <c r="G22" s="34"/>
      <c r="H22" s="34"/>
    </row>
    <row r="23" spans="1:8" ht="36" customHeight="1" x14ac:dyDescent="0.55000000000000004">
      <c r="A23" s="3" t="s">
        <v>32</v>
      </c>
      <c r="B23" s="33" t="s">
        <v>33</v>
      </c>
      <c r="C23" s="34"/>
      <c r="D23" s="34"/>
      <c r="E23" s="33" t="s">
        <v>34</v>
      </c>
      <c r="F23" s="34"/>
      <c r="G23" s="34"/>
      <c r="H23" s="34"/>
    </row>
    <row r="24" spans="1:8" ht="36" customHeight="1" x14ac:dyDescent="0.55000000000000004">
      <c r="A24" s="3" t="s">
        <v>35</v>
      </c>
      <c r="B24" s="33" t="s">
        <v>36</v>
      </c>
      <c r="C24" s="34"/>
      <c r="D24" s="34"/>
      <c r="E24" s="33" t="s">
        <v>37</v>
      </c>
      <c r="F24" s="34"/>
      <c r="G24" s="34"/>
      <c r="H24" s="34"/>
    </row>
    <row r="27" spans="1:8" ht="22" customHeight="1" x14ac:dyDescent="0.55000000000000004">
      <c r="A27" s="39" t="s">
        <v>38</v>
      </c>
      <c r="B27" s="34"/>
      <c r="C27" s="34"/>
      <c r="D27" s="34"/>
      <c r="E27" s="34"/>
      <c r="F27" s="34"/>
      <c r="G27" s="34"/>
      <c r="H27" s="34"/>
    </row>
    <row r="28" spans="1:8" x14ac:dyDescent="0.55000000000000004">
      <c r="A28" s="5" t="s">
        <v>39</v>
      </c>
      <c r="B28" s="36" t="s">
        <v>40</v>
      </c>
      <c r="C28" s="34"/>
      <c r="D28" s="34"/>
      <c r="E28" s="34"/>
      <c r="F28" s="34"/>
      <c r="G28" s="34"/>
      <c r="H28" s="34"/>
    </row>
    <row r="29" spans="1:8" x14ac:dyDescent="0.55000000000000004">
      <c r="A29" s="6" t="s">
        <v>41</v>
      </c>
      <c r="B29" s="36" t="s">
        <v>42</v>
      </c>
      <c r="C29" s="34"/>
      <c r="D29" s="34"/>
      <c r="E29" s="34"/>
      <c r="F29" s="34"/>
      <c r="G29" s="34"/>
      <c r="H29" s="34"/>
    </row>
    <row r="30" spans="1:8" x14ac:dyDescent="0.55000000000000004">
      <c r="A30" s="7" t="s">
        <v>43</v>
      </c>
      <c r="B30" s="36" t="s">
        <v>44</v>
      </c>
      <c r="C30" s="34"/>
      <c r="D30" s="34"/>
      <c r="E30" s="34"/>
      <c r="F30" s="34"/>
      <c r="G30" s="34"/>
      <c r="H30" s="34"/>
    </row>
    <row r="31" spans="1:8" x14ac:dyDescent="0.55000000000000004">
      <c r="A31" s="8" t="s">
        <v>45</v>
      </c>
      <c r="B31" s="36" t="s">
        <v>46</v>
      </c>
      <c r="C31" s="34"/>
      <c r="D31" s="34"/>
      <c r="E31" s="34"/>
      <c r="F31" s="34"/>
      <c r="G31" s="34"/>
      <c r="H31" s="34"/>
    </row>
    <row r="32" spans="1:8" x14ac:dyDescent="0.55000000000000004">
      <c r="A32" s="9" t="s">
        <v>47</v>
      </c>
      <c r="B32" s="36" t="s">
        <v>48</v>
      </c>
      <c r="C32" s="34"/>
      <c r="D32" s="34"/>
      <c r="E32" s="34"/>
      <c r="F32" s="34"/>
      <c r="G32" s="34"/>
      <c r="H32" s="34"/>
    </row>
  </sheetData>
  <mergeCells count="25">
    <mergeCell ref="A1:H1"/>
    <mergeCell ref="C12:H12"/>
    <mergeCell ref="E22:H22"/>
    <mergeCell ref="C11:H11"/>
    <mergeCell ref="B32:H32"/>
    <mergeCell ref="A4:H5"/>
    <mergeCell ref="A7:H7"/>
    <mergeCell ref="C8:H8"/>
    <mergeCell ref="A27:H27"/>
    <mergeCell ref="E24:H24"/>
    <mergeCell ref="B24:D24"/>
    <mergeCell ref="B31:H31"/>
    <mergeCell ref="A21:H21"/>
    <mergeCell ref="E23:H23"/>
    <mergeCell ref="C13:H13"/>
    <mergeCell ref="A17:H17"/>
    <mergeCell ref="C10:H10"/>
    <mergeCell ref="B23:D23"/>
    <mergeCell ref="B18:H19"/>
    <mergeCell ref="C9:H9"/>
    <mergeCell ref="B30:H30"/>
    <mergeCell ref="C14:H14"/>
    <mergeCell ref="B22:D22"/>
    <mergeCell ref="B29:H29"/>
    <mergeCell ref="B28:H28"/>
  </mergeCell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  <pageSetUpPr fitToPage="1"/>
  </sheetPr>
  <dimension ref="A1:O27"/>
  <sheetViews>
    <sheetView showGridLines="0" workbookViewId="0">
      <pane ySplit="7" topLeftCell="A8" activePane="bottomLeft" state="frozen"/>
      <selection pane="bottomLeft" activeCell="B8" sqref="B8"/>
    </sheetView>
  </sheetViews>
  <sheetFormatPr baseColWidth="10" defaultColWidth="8.83984375" defaultRowHeight="14.4" x14ac:dyDescent="0.55000000000000004"/>
  <cols>
    <col min="1" max="1" width="12" customWidth="1"/>
    <col min="2" max="2" width="18" customWidth="1"/>
    <col min="3" max="3" width="20" customWidth="1"/>
    <col min="4" max="4" width="18" customWidth="1"/>
    <col min="5" max="5" width="20" customWidth="1"/>
    <col min="6" max="6" width="12" customWidth="1"/>
    <col min="7" max="7" width="18" customWidth="1"/>
    <col min="8" max="8" width="20" customWidth="1"/>
    <col min="9" max="9" width="18" customWidth="1"/>
    <col min="10" max="10" width="20" customWidth="1"/>
    <col min="11" max="11" width="12" customWidth="1"/>
    <col min="12" max="12" width="18" customWidth="1"/>
    <col min="13" max="13" width="20" customWidth="1"/>
    <col min="14" max="14" width="18" customWidth="1"/>
    <col min="15" max="15" width="20" customWidth="1"/>
  </cols>
  <sheetData>
    <row r="1" spans="1:15" ht="28" customHeight="1" x14ac:dyDescent="0.55000000000000004">
      <c r="A1" s="37" t="s">
        <v>49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x14ac:dyDescent="0.55000000000000004">
      <c r="A2" s="40" t="s">
        <v>50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x14ac:dyDescent="0.55000000000000004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5" spans="1:15" ht="22" customHeight="1" x14ac:dyDescent="0.55000000000000004">
      <c r="A5" s="42" t="s">
        <v>51</v>
      </c>
      <c r="B5" s="34"/>
      <c r="C5" s="34"/>
      <c r="D5" s="34"/>
      <c r="E5" s="34"/>
      <c r="F5" s="41" t="s">
        <v>52</v>
      </c>
      <c r="G5" s="34"/>
      <c r="H5" s="34"/>
      <c r="I5" s="34"/>
      <c r="J5" s="34"/>
      <c r="K5" s="43" t="s">
        <v>53</v>
      </c>
      <c r="L5" s="34"/>
      <c r="M5" s="34"/>
      <c r="N5" s="34"/>
      <c r="O5" s="34"/>
    </row>
    <row r="7" spans="1:15" ht="30" customHeight="1" x14ac:dyDescent="0.55000000000000004">
      <c r="A7" s="10" t="s">
        <v>54</v>
      </c>
      <c r="B7" s="10" t="s">
        <v>55</v>
      </c>
      <c r="C7" s="10" t="s">
        <v>56</v>
      </c>
      <c r="D7" s="10" t="s">
        <v>57</v>
      </c>
      <c r="E7" s="10" t="s">
        <v>58</v>
      </c>
      <c r="F7" s="11" t="s">
        <v>54</v>
      </c>
      <c r="G7" s="11" t="s">
        <v>55</v>
      </c>
      <c r="H7" s="11" t="s">
        <v>56</v>
      </c>
      <c r="I7" s="11" t="s">
        <v>57</v>
      </c>
      <c r="J7" s="11" t="s">
        <v>58</v>
      </c>
      <c r="K7" s="12" t="s">
        <v>54</v>
      </c>
      <c r="L7" s="12" t="s">
        <v>55</v>
      </c>
      <c r="M7" s="12" t="s">
        <v>56</v>
      </c>
      <c r="N7" s="12" t="s">
        <v>57</v>
      </c>
      <c r="O7" s="12" t="s">
        <v>58</v>
      </c>
    </row>
    <row r="8" spans="1:15" x14ac:dyDescent="0.55000000000000004">
      <c r="A8" s="13" t="s">
        <v>59</v>
      </c>
      <c r="B8" s="14">
        <v>4200</v>
      </c>
      <c r="C8" s="14">
        <v>621.6</v>
      </c>
      <c r="D8" s="15">
        <f>IF(B8=0,"",C8/B8)</f>
        <v>0.14799999999999999</v>
      </c>
      <c r="E8" s="15">
        <f>IF(D8="","",ABS(D8-Cálculos!$C$8))</f>
        <v>1.4499999999999985E-2</v>
      </c>
      <c r="F8" s="13" t="s">
        <v>59</v>
      </c>
      <c r="G8" s="14">
        <v>4200</v>
      </c>
      <c r="H8" s="14">
        <v>621.6</v>
      </c>
      <c r="I8" s="15">
        <f t="shared" ref="I8:I27" si="0">IF(G8=0,"",H8/G8)</f>
        <v>0.14799999999999999</v>
      </c>
      <c r="J8" s="15">
        <f>IF(I8="","",ABS(I8-Cálculos!$D$8))</f>
        <v>1.4499999999999985E-2</v>
      </c>
      <c r="K8" s="13" t="s">
        <v>59</v>
      </c>
      <c r="L8" s="14">
        <v>4200</v>
      </c>
      <c r="M8" s="14">
        <v>621.6</v>
      </c>
      <c r="N8" s="15">
        <f t="shared" ref="N8:N27" si="1">IF(L8=0,"",M8/L8)</f>
        <v>0.14799999999999999</v>
      </c>
      <c r="O8" s="15">
        <f>IF(N8="","",ABS(N8-Cálculos!$E$8))</f>
        <v>1.4499999999999985E-2</v>
      </c>
    </row>
    <row r="9" spans="1:15" x14ac:dyDescent="0.55000000000000004">
      <c r="A9" s="16" t="s">
        <v>60</v>
      </c>
      <c r="B9" s="14">
        <v>4800</v>
      </c>
      <c r="C9" s="14">
        <v>724.8</v>
      </c>
      <c r="D9" s="17">
        <f t="shared" ref="D8:D27" si="2">IF(B9=0,"",C9/B9)</f>
        <v>0.151</v>
      </c>
      <c r="E9" s="17">
        <f>IF(D9="","",ABS(D9-Cálculos!$C$8))</f>
        <v>1.1499999999999982E-2</v>
      </c>
      <c r="F9" s="16" t="s">
        <v>60</v>
      </c>
      <c r="G9" s="14">
        <v>4800</v>
      </c>
      <c r="H9" s="14">
        <v>724.8</v>
      </c>
      <c r="I9" s="17">
        <f t="shared" si="0"/>
        <v>0.151</v>
      </c>
      <c r="J9" s="17">
        <f>IF(I9="","",ABS(I9-Cálculos!$D$8))</f>
        <v>1.1499999999999982E-2</v>
      </c>
      <c r="K9" s="16" t="s">
        <v>60</v>
      </c>
      <c r="L9" s="14">
        <v>4800</v>
      </c>
      <c r="M9" s="14">
        <v>724.8</v>
      </c>
      <c r="N9" s="17">
        <f t="shared" si="1"/>
        <v>0.151</v>
      </c>
      <c r="O9" s="17">
        <f>IF(N9="","",ABS(N9-Cálculos!$E$8))</f>
        <v>1.1499999999999982E-2</v>
      </c>
    </row>
    <row r="10" spans="1:15" x14ac:dyDescent="0.55000000000000004">
      <c r="A10" s="13" t="s">
        <v>61</v>
      </c>
      <c r="B10" s="14">
        <v>5100</v>
      </c>
      <c r="C10" s="14">
        <v>780.3</v>
      </c>
      <c r="D10" s="15">
        <f t="shared" si="2"/>
        <v>0.153</v>
      </c>
      <c r="E10" s="15">
        <f>IF(D10="","",ABS(D10-Cálculos!$C$8))</f>
        <v>9.4999999999999807E-3</v>
      </c>
      <c r="F10" s="13" t="s">
        <v>61</v>
      </c>
      <c r="G10" s="14">
        <v>5100</v>
      </c>
      <c r="H10" s="14">
        <v>780.3</v>
      </c>
      <c r="I10" s="15">
        <f t="shared" si="0"/>
        <v>0.153</v>
      </c>
      <c r="J10" s="15">
        <f>IF(I10="","",ABS(I10-Cálculos!$D$8))</f>
        <v>9.4999999999999807E-3</v>
      </c>
      <c r="K10" s="13" t="s">
        <v>61</v>
      </c>
      <c r="L10" s="14">
        <v>5100</v>
      </c>
      <c r="M10" s="14">
        <v>780.3</v>
      </c>
      <c r="N10" s="15">
        <f t="shared" si="1"/>
        <v>0.153</v>
      </c>
      <c r="O10" s="15">
        <f>IF(N10="","",ABS(N10-Cálculos!$E$8))</f>
        <v>9.4999999999999807E-3</v>
      </c>
    </row>
    <row r="11" spans="1:15" x14ac:dyDescent="0.55000000000000004">
      <c r="A11" s="16" t="s">
        <v>62</v>
      </c>
      <c r="B11" s="14">
        <v>5600</v>
      </c>
      <c r="C11" s="14">
        <v>868</v>
      </c>
      <c r="D11" s="17">
        <f t="shared" si="2"/>
        <v>0.155</v>
      </c>
      <c r="E11" s="17">
        <f>IF(D11="","",ABS(D11-Cálculos!$C$8))</f>
        <v>7.4999999999999789E-3</v>
      </c>
      <c r="F11" s="16" t="s">
        <v>62</v>
      </c>
      <c r="G11" s="14">
        <v>5600</v>
      </c>
      <c r="H11" s="14">
        <v>868</v>
      </c>
      <c r="I11" s="17">
        <f>IF(G11=0,"",H11/G11)</f>
        <v>0.155</v>
      </c>
      <c r="J11" s="17">
        <f>IF(I11="","",ABS(I11-Cálculos!$D$8))</f>
        <v>7.4999999999999789E-3</v>
      </c>
      <c r="K11" s="16" t="s">
        <v>62</v>
      </c>
      <c r="L11" s="14">
        <v>5600</v>
      </c>
      <c r="M11" s="14">
        <v>868</v>
      </c>
      <c r="N11" s="17">
        <f t="shared" si="1"/>
        <v>0.155</v>
      </c>
      <c r="O11" s="17">
        <f>IF(N11="","",ABS(N11-Cálculos!$E$8))</f>
        <v>7.4999999999999789E-3</v>
      </c>
    </row>
    <row r="12" spans="1:15" x14ac:dyDescent="0.55000000000000004">
      <c r="A12" s="13" t="s">
        <v>63</v>
      </c>
      <c r="B12" s="14">
        <v>6100</v>
      </c>
      <c r="C12" s="14">
        <v>951.6</v>
      </c>
      <c r="D12" s="15">
        <f t="shared" si="2"/>
        <v>0.156</v>
      </c>
      <c r="E12" s="15">
        <f>IF(D12="","",ABS(D12-Cálculos!$C$8))</f>
        <v>6.499999999999978E-3</v>
      </c>
      <c r="F12" s="13" t="s">
        <v>63</v>
      </c>
      <c r="G12" s="14">
        <v>6100</v>
      </c>
      <c r="H12" s="14">
        <v>951.6</v>
      </c>
      <c r="I12" s="15">
        <f t="shared" si="0"/>
        <v>0.156</v>
      </c>
      <c r="J12" s="15">
        <f>IF(I12="","",ABS(I12-Cálculos!$D$8))</f>
        <v>6.499999999999978E-3</v>
      </c>
      <c r="K12" s="13" t="s">
        <v>63</v>
      </c>
      <c r="L12" s="14">
        <v>6100</v>
      </c>
      <c r="M12" s="14">
        <v>951.6</v>
      </c>
      <c r="N12" s="15">
        <f t="shared" si="1"/>
        <v>0.156</v>
      </c>
      <c r="O12" s="15">
        <f>IF(N12="","",ABS(N12-Cálculos!$E$8))</f>
        <v>6.499999999999978E-3</v>
      </c>
    </row>
    <row r="13" spans="1:15" x14ac:dyDescent="0.55000000000000004">
      <c r="A13" s="16" t="s">
        <v>64</v>
      </c>
      <c r="B13" s="14">
        <v>6500</v>
      </c>
      <c r="C13" s="14">
        <v>1027</v>
      </c>
      <c r="D13" s="17">
        <f t="shared" si="2"/>
        <v>0.158</v>
      </c>
      <c r="E13" s="17">
        <f>IF(D13="","",ABS(D13-Cálculos!$C$8))</f>
        <v>4.4999999999999762E-3</v>
      </c>
      <c r="F13" s="16" t="s">
        <v>64</v>
      </c>
      <c r="G13" s="14">
        <v>6500</v>
      </c>
      <c r="H13" s="14">
        <v>1027</v>
      </c>
      <c r="I13" s="17">
        <f t="shared" si="0"/>
        <v>0.158</v>
      </c>
      <c r="J13" s="17">
        <f>IF(I13="","",ABS(I13-Cálculos!$D$8))</f>
        <v>4.4999999999999762E-3</v>
      </c>
      <c r="K13" s="16" t="s">
        <v>64</v>
      </c>
      <c r="L13" s="14">
        <v>6500</v>
      </c>
      <c r="M13" s="14">
        <v>1027</v>
      </c>
      <c r="N13" s="17">
        <f t="shared" si="1"/>
        <v>0.158</v>
      </c>
      <c r="O13" s="17">
        <f>IF(N13="","",ABS(N13-Cálculos!$E$8))</f>
        <v>4.4999999999999762E-3</v>
      </c>
    </row>
    <row r="14" spans="1:15" x14ac:dyDescent="0.55000000000000004">
      <c r="A14" s="13" t="s">
        <v>65</v>
      </c>
      <c r="B14" s="14">
        <v>7000</v>
      </c>
      <c r="C14" s="14">
        <v>1113</v>
      </c>
      <c r="D14" s="15">
        <f t="shared" si="2"/>
        <v>0.159</v>
      </c>
      <c r="E14" s="15">
        <f>IF(D14="","",ABS(D14-Cálculos!$C$8))</f>
        <v>3.4999999999999754E-3</v>
      </c>
      <c r="F14" s="13" t="s">
        <v>65</v>
      </c>
      <c r="G14" s="14">
        <v>7000</v>
      </c>
      <c r="H14" s="14">
        <v>1113</v>
      </c>
      <c r="I14" s="15">
        <f t="shared" si="0"/>
        <v>0.159</v>
      </c>
      <c r="J14" s="15">
        <f>IF(I14="","",ABS(I14-Cálculos!$D$8))</f>
        <v>3.4999999999999754E-3</v>
      </c>
      <c r="K14" s="13" t="s">
        <v>65</v>
      </c>
      <c r="L14" s="14">
        <v>7000</v>
      </c>
      <c r="M14" s="14">
        <v>1113</v>
      </c>
      <c r="N14" s="15">
        <f t="shared" si="1"/>
        <v>0.159</v>
      </c>
      <c r="O14" s="15">
        <f>IF(N14="","",ABS(N14-Cálculos!$E$8))</f>
        <v>3.4999999999999754E-3</v>
      </c>
    </row>
    <row r="15" spans="1:15" x14ac:dyDescent="0.55000000000000004">
      <c r="A15" s="16" t="s">
        <v>66</v>
      </c>
      <c r="B15" s="14">
        <v>7400</v>
      </c>
      <c r="C15" s="14">
        <v>1184</v>
      </c>
      <c r="D15" s="17">
        <f t="shared" si="2"/>
        <v>0.16</v>
      </c>
      <c r="E15" s="17">
        <f>IF(D15="","",ABS(D15-Cálculos!$C$8))</f>
        <v>2.4999999999999745E-3</v>
      </c>
      <c r="F15" s="16" t="s">
        <v>66</v>
      </c>
      <c r="G15" s="14">
        <v>7400</v>
      </c>
      <c r="H15" s="14">
        <v>1184</v>
      </c>
      <c r="I15" s="17">
        <f t="shared" si="0"/>
        <v>0.16</v>
      </c>
      <c r="J15" s="17">
        <f>IF(I15="","",ABS(I15-Cálculos!$D$8))</f>
        <v>2.4999999999999745E-3</v>
      </c>
      <c r="K15" s="16" t="s">
        <v>66</v>
      </c>
      <c r="L15" s="14">
        <v>7400</v>
      </c>
      <c r="M15" s="14">
        <v>1184</v>
      </c>
      <c r="N15" s="17">
        <f t="shared" si="1"/>
        <v>0.16</v>
      </c>
      <c r="O15" s="17">
        <f>IF(N15="","",ABS(N15-Cálculos!$E$8))</f>
        <v>2.4999999999999745E-3</v>
      </c>
    </row>
    <row r="16" spans="1:15" x14ac:dyDescent="0.55000000000000004">
      <c r="A16" s="13" t="s">
        <v>67</v>
      </c>
      <c r="B16" s="14">
        <v>7900</v>
      </c>
      <c r="C16" s="14">
        <v>1271.9000000000001</v>
      </c>
      <c r="D16" s="15">
        <f t="shared" si="2"/>
        <v>0.161</v>
      </c>
      <c r="E16" s="15">
        <f>IF(D16="","",ABS(D16-Cálculos!$C$8))</f>
        <v>1.4999999999999736E-3</v>
      </c>
      <c r="F16" s="13" t="s">
        <v>67</v>
      </c>
      <c r="G16" s="14">
        <v>7900</v>
      </c>
      <c r="H16" s="14">
        <v>1271.9000000000001</v>
      </c>
      <c r="I16" s="15">
        <f t="shared" si="0"/>
        <v>0.161</v>
      </c>
      <c r="J16" s="15">
        <f>IF(I16="","",ABS(I16-Cálculos!$D$8))</f>
        <v>1.4999999999999736E-3</v>
      </c>
      <c r="K16" s="13" t="s">
        <v>67</v>
      </c>
      <c r="L16" s="14">
        <v>7900</v>
      </c>
      <c r="M16" s="14">
        <v>1271.9000000000001</v>
      </c>
      <c r="N16" s="15">
        <f t="shared" si="1"/>
        <v>0.161</v>
      </c>
      <c r="O16" s="15">
        <f>IF(N16="","",ABS(N16-Cálculos!$E$8))</f>
        <v>1.4999999999999736E-3</v>
      </c>
    </row>
    <row r="17" spans="1:15" x14ac:dyDescent="0.55000000000000004">
      <c r="A17" s="16" t="s">
        <v>68</v>
      </c>
      <c r="B17" s="14">
        <v>8300</v>
      </c>
      <c r="C17" s="14">
        <v>1344.6</v>
      </c>
      <c r="D17" s="17">
        <f t="shared" si="2"/>
        <v>0.16199999999999998</v>
      </c>
      <c r="E17" s="17">
        <f>IF(D17="","",ABS(D17-Cálculos!$C$8))</f>
        <v>5.0000000000000044E-4</v>
      </c>
      <c r="F17" s="16" t="s">
        <v>68</v>
      </c>
      <c r="G17" s="14">
        <v>8300</v>
      </c>
      <c r="H17" s="14">
        <v>1344.6</v>
      </c>
      <c r="I17" s="17">
        <f t="shared" si="0"/>
        <v>0.16199999999999998</v>
      </c>
      <c r="J17" s="17">
        <f>IF(I17="","",ABS(I17-Cálculos!$D$8))</f>
        <v>5.0000000000000044E-4</v>
      </c>
      <c r="K17" s="16" t="s">
        <v>68</v>
      </c>
      <c r="L17" s="14">
        <v>8300</v>
      </c>
      <c r="M17" s="14">
        <v>1344.6</v>
      </c>
      <c r="N17" s="17">
        <f t="shared" si="1"/>
        <v>0.16199999999999998</v>
      </c>
      <c r="O17" s="17">
        <f>IF(N17="","",ABS(N17-Cálculos!$E$8))</f>
        <v>5.0000000000000044E-4</v>
      </c>
    </row>
    <row r="18" spans="1:15" x14ac:dyDescent="0.55000000000000004">
      <c r="A18" s="13" t="s">
        <v>69</v>
      </c>
      <c r="B18" s="14">
        <v>8800</v>
      </c>
      <c r="C18" s="14">
        <v>1434.4</v>
      </c>
      <c r="D18" s="15">
        <f t="shared" si="2"/>
        <v>0.16300000000000001</v>
      </c>
      <c r="E18" s="15">
        <f>IF(D18="","",ABS(D18-Cálculos!$C$8))</f>
        <v>5.000000000000282E-4</v>
      </c>
      <c r="F18" s="13" t="s">
        <v>69</v>
      </c>
      <c r="G18" s="14">
        <v>8800</v>
      </c>
      <c r="H18" s="14">
        <v>1434.4</v>
      </c>
      <c r="I18" s="15">
        <f t="shared" si="0"/>
        <v>0.16300000000000001</v>
      </c>
      <c r="J18" s="15">
        <f>IF(I18="","",ABS(I18-Cálculos!$D$8))</f>
        <v>5.000000000000282E-4</v>
      </c>
      <c r="K18" s="13" t="s">
        <v>69</v>
      </c>
      <c r="L18" s="14">
        <v>8800</v>
      </c>
      <c r="M18" s="14">
        <v>1434.4</v>
      </c>
      <c r="N18" s="15">
        <f t="shared" si="1"/>
        <v>0.16300000000000001</v>
      </c>
      <c r="O18" s="15">
        <f>IF(N18="","",ABS(N18-Cálculos!$E$8))</f>
        <v>5.000000000000282E-4</v>
      </c>
    </row>
    <row r="19" spans="1:15" x14ac:dyDescent="0.55000000000000004">
      <c r="A19" s="16" t="s">
        <v>70</v>
      </c>
      <c r="B19" s="14">
        <v>9200</v>
      </c>
      <c r="C19" s="14">
        <v>1508.8</v>
      </c>
      <c r="D19" s="17">
        <f t="shared" si="2"/>
        <v>0.16400000000000001</v>
      </c>
      <c r="E19" s="17">
        <f>IF(D19="","",ABS(D19-Cálculos!$C$8))</f>
        <v>1.5000000000000291E-3</v>
      </c>
      <c r="F19" s="16" t="s">
        <v>70</v>
      </c>
      <c r="G19" s="14">
        <v>9200</v>
      </c>
      <c r="H19" s="14">
        <v>1508.8</v>
      </c>
      <c r="I19" s="17">
        <f t="shared" si="0"/>
        <v>0.16400000000000001</v>
      </c>
      <c r="J19" s="17">
        <f>IF(I19="","",ABS(I19-Cálculos!$D$8))</f>
        <v>1.5000000000000291E-3</v>
      </c>
      <c r="K19" s="16" t="s">
        <v>70</v>
      </c>
      <c r="L19" s="14">
        <v>9200</v>
      </c>
      <c r="M19" s="14">
        <v>1508.8</v>
      </c>
      <c r="N19" s="17">
        <f t="shared" si="1"/>
        <v>0.16400000000000001</v>
      </c>
      <c r="O19" s="17">
        <f>IF(N19="","",ABS(N19-Cálculos!$E$8))</f>
        <v>1.5000000000000291E-3</v>
      </c>
    </row>
    <row r="20" spans="1:15" x14ac:dyDescent="0.55000000000000004">
      <c r="A20" s="13" t="s">
        <v>71</v>
      </c>
      <c r="B20" s="14">
        <v>9700</v>
      </c>
      <c r="C20" s="14">
        <v>1600.5</v>
      </c>
      <c r="D20" s="15">
        <f t="shared" si="2"/>
        <v>0.16500000000000001</v>
      </c>
      <c r="E20" s="15">
        <f>IF(D20="","",ABS(D20-Cálculos!$C$8))</f>
        <v>2.50000000000003E-3</v>
      </c>
      <c r="F20" s="13" t="s">
        <v>71</v>
      </c>
      <c r="G20" s="14">
        <v>9700</v>
      </c>
      <c r="H20" s="14">
        <v>1600.5</v>
      </c>
      <c r="I20" s="15">
        <f t="shared" si="0"/>
        <v>0.16500000000000001</v>
      </c>
      <c r="J20" s="15">
        <f>IF(I20="","",ABS(I20-Cálculos!$D$8))</f>
        <v>2.50000000000003E-3</v>
      </c>
      <c r="K20" s="13" t="s">
        <v>71</v>
      </c>
      <c r="L20" s="14">
        <v>9700</v>
      </c>
      <c r="M20" s="14">
        <v>1600.5</v>
      </c>
      <c r="N20" s="15">
        <f t="shared" si="1"/>
        <v>0.16500000000000001</v>
      </c>
      <c r="O20" s="15">
        <f>IF(N20="","",ABS(N20-Cálculos!$E$8))</f>
        <v>2.50000000000003E-3</v>
      </c>
    </row>
    <row r="21" spans="1:15" x14ac:dyDescent="0.55000000000000004">
      <c r="A21" s="16" t="s">
        <v>72</v>
      </c>
      <c r="B21" s="14">
        <v>10200</v>
      </c>
      <c r="C21" s="14">
        <v>1693.2</v>
      </c>
      <c r="D21" s="17">
        <f t="shared" si="2"/>
        <v>0.16600000000000001</v>
      </c>
      <c r="E21" s="17">
        <f>IF(D21="","",ABS(D21-Cálculos!$C$8))</f>
        <v>3.5000000000000309E-3</v>
      </c>
      <c r="F21" s="16" t="s">
        <v>72</v>
      </c>
      <c r="G21" s="14">
        <v>10200</v>
      </c>
      <c r="H21" s="14">
        <v>1693.2</v>
      </c>
      <c r="I21" s="17">
        <f t="shared" si="0"/>
        <v>0.16600000000000001</v>
      </c>
      <c r="J21" s="17">
        <f>IF(I21="","",ABS(I21-Cálculos!$D$8))</f>
        <v>3.5000000000000309E-3</v>
      </c>
      <c r="K21" s="16" t="s">
        <v>72</v>
      </c>
      <c r="L21" s="14">
        <v>10200</v>
      </c>
      <c r="M21" s="14">
        <v>1693.2</v>
      </c>
      <c r="N21" s="17">
        <f t="shared" si="1"/>
        <v>0.16600000000000001</v>
      </c>
      <c r="O21" s="17">
        <f>IF(N21="","",ABS(N21-Cálculos!$E$8))</f>
        <v>3.5000000000000309E-3</v>
      </c>
    </row>
    <row r="22" spans="1:15" x14ac:dyDescent="0.55000000000000004">
      <c r="A22" s="13" t="s">
        <v>73</v>
      </c>
      <c r="B22" s="14">
        <v>10800</v>
      </c>
      <c r="C22" s="14">
        <v>1803.6</v>
      </c>
      <c r="D22" s="15">
        <f t="shared" si="2"/>
        <v>0.16699999999999998</v>
      </c>
      <c r="E22" s="15">
        <f>IF(D22="","",ABS(D22-Cálculos!$C$8))</f>
        <v>4.500000000000004E-3</v>
      </c>
      <c r="F22" s="13" t="s">
        <v>73</v>
      </c>
      <c r="G22" s="14">
        <v>10800</v>
      </c>
      <c r="H22" s="14">
        <v>1803.6</v>
      </c>
      <c r="I22" s="15">
        <f t="shared" si="0"/>
        <v>0.16699999999999998</v>
      </c>
      <c r="J22" s="15">
        <f>IF(I22="","",ABS(I22-Cálculos!$D$8))</f>
        <v>4.500000000000004E-3</v>
      </c>
      <c r="K22" s="13" t="s">
        <v>73</v>
      </c>
      <c r="L22" s="14">
        <v>10800</v>
      </c>
      <c r="M22" s="14">
        <v>1803.6</v>
      </c>
      <c r="N22" s="15">
        <f t="shared" si="1"/>
        <v>0.16699999999999998</v>
      </c>
      <c r="O22" s="15">
        <f>IF(N22="","",ABS(N22-Cálculos!$E$8))</f>
        <v>4.500000000000004E-3</v>
      </c>
    </row>
    <row r="23" spans="1:15" x14ac:dyDescent="0.55000000000000004">
      <c r="A23" s="16" t="s">
        <v>74</v>
      </c>
      <c r="B23" s="14">
        <v>11400</v>
      </c>
      <c r="C23" s="14">
        <v>1915.2</v>
      </c>
      <c r="D23" s="17">
        <f t="shared" si="2"/>
        <v>0.16800000000000001</v>
      </c>
      <c r="E23" s="17">
        <f>IF(D23="","",ABS(D23-Cálculos!$C$8))</f>
        <v>5.5000000000000326E-3</v>
      </c>
      <c r="F23" s="16" t="s">
        <v>74</v>
      </c>
      <c r="G23" s="14">
        <v>11400</v>
      </c>
      <c r="H23" s="14">
        <v>1915.2</v>
      </c>
      <c r="I23" s="17">
        <f t="shared" si="0"/>
        <v>0.16800000000000001</v>
      </c>
      <c r="J23" s="17">
        <f>IF(I23="","",ABS(I23-Cálculos!$D$8))</f>
        <v>5.5000000000000326E-3</v>
      </c>
      <c r="K23" s="16" t="s">
        <v>74</v>
      </c>
      <c r="L23" s="14">
        <v>11400</v>
      </c>
      <c r="M23" s="14">
        <v>2029.2</v>
      </c>
      <c r="N23" s="17">
        <f t="shared" si="1"/>
        <v>0.17799999999999999</v>
      </c>
      <c r="O23" s="17">
        <f>IF(N23="","",ABS(N23-Cálculos!$E$8))</f>
        <v>1.5500000000000014E-2</v>
      </c>
    </row>
    <row r="24" spans="1:15" x14ac:dyDescent="0.55000000000000004">
      <c r="A24" s="13" t="s">
        <v>75</v>
      </c>
      <c r="B24" s="14">
        <v>12000</v>
      </c>
      <c r="C24" s="14">
        <v>2028</v>
      </c>
      <c r="D24" s="15">
        <f t="shared" si="2"/>
        <v>0.16900000000000001</v>
      </c>
      <c r="E24" s="15">
        <f>IF(D24="","",ABS(D24-Cálculos!$C$8))</f>
        <v>6.5000000000000335E-3</v>
      </c>
      <c r="F24" s="13" t="s">
        <v>75</v>
      </c>
      <c r="G24" s="14">
        <v>12000</v>
      </c>
      <c r="H24" s="14">
        <v>2028</v>
      </c>
      <c r="I24" s="15">
        <f t="shared" si="0"/>
        <v>0.16900000000000001</v>
      </c>
      <c r="J24" s="15">
        <f>IF(I24="","",ABS(I24-Cálculos!$D$8))</f>
        <v>6.5000000000000335E-3</v>
      </c>
      <c r="K24" s="13" t="s">
        <v>75</v>
      </c>
      <c r="L24" s="14">
        <v>12000</v>
      </c>
      <c r="M24" s="14">
        <v>2280</v>
      </c>
      <c r="N24" s="15">
        <f t="shared" si="1"/>
        <v>0.19</v>
      </c>
      <c r="O24" s="15">
        <f>IF(N24="","",ABS(N24-Cálculos!$E$8))</f>
        <v>2.7500000000000024E-2</v>
      </c>
    </row>
    <row r="25" spans="1:15" x14ac:dyDescent="0.55000000000000004">
      <c r="A25" s="16" t="s">
        <v>76</v>
      </c>
      <c r="B25" s="14">
        <v>12600</v>
      </c>
      <c r="C25" s="14">
        <v>2142</v>
      </c>
      <c r="D25" s="17">
        <f t="shared" si="2"/>
        <v>0.17</v>
      </c>
      <c r="E25" s="17">
        <f>IF(D25="","",ABS(D25-Cálculos!$C$8))</f>
        <v>7.5000000000000344E-3</v>
      </c>
      <c r="F25" s="16" t="s">
        <v>76</v>
      </c>
      <c r="G25" s="14">
        <v>12600</v>
      </c>
      <c r="H25" s="14">
        <v>2142</v>
      </c>
      <c r="I25" s="17">
        <f t="shared" si="0"/>
        <v>0.17</v>
      </c>
      <c r="J25" s="17">
        <f>IF(I25="","",ABS(I25-Cálculos!$D$8))</f>
        <v>7.5000000000000344E-3</v>
      </c>
      <c r="K25" s="16" t="s">
        <v>76</v>
      </c>
      <c r="L25" s="14">
        <v>12600</v>
      </c>
      <c r="M25" s="14">
        <v>2583</v>
      </c>
      <c r="N25" s="17">
        <f t="shared" si="1"/>
        <v>0.20499999999999999</v>
      </c>
      <c r="O25" s="17">
        <f>IF(N25="","",ABS(N25-Cálculos!$E$8))</f>
        <v>4.250000000000001E-2</v>
      </c>
    </row>
    <row r="26" spans="1:15" x14ac:dyDescent="0.55000000000000004">
      <c r="A26" s="13" t="s">
        <v>77</v>
      </c>
      <c r="B26" s="14">
        <v>13200</v>
      </c>
      <c r="C26" s="14">
        <v>2257.1999999999998</v>
      </c>
      <c r="D26" s="15">
        <f t="shared" si="2"/>
        <v>0.17099999999999999</v>
      </c>
      <c r="E26" s="15">
        <f>IF(D26="","",ABS(D26-Cálculos!$C$8))</f>
        <v>8.5000000000000075E-3</v>
      </c>
      <c r="F26" s="13" t="s">
        <v>77</v>
      </c>
      <c r="G26" s="14">
        <v>13200</v>
      </c>
      <c r="H26" s="14">
        <v>2257.1999999999998</v>
      </c>
      <c r="I26" s="15">
        <f t="shared" si="0"/>
        <v>0.17099999999999999</v>
      </c>
      <c r="J26" s="15">
        <f>IF(I26="","",ABS(I26-Cálculos!$D$8))</f>
        <v>8.5000000000000075E-3</v>
      </c>
      <c r="K26" s="13" t="s">
        <v>77</v>
      </c>
      <c r="L26" s="14">
        <v>13200</v>
      </c>
      <c r="M26" s="14">
        <v>3036</v>
      </c>
      <c r="N26" s="15">
        <f t="shared" si="1"/>
        <v>0.23</v>
      </c>
      <c r="O26" s="15">
        <f>IF(N26="","",ABS(N26-Cálculos!$E$8))</f>
        <v>6.7500000000000032E-2</v>
      </c>
    </row>
    <row r="27" spans="1:15" x14ac:dyDescent="0.55000000000000004">
      <c r="A27" s="16" t="s">
        <v>78</v>
      </c>
      <c r="B27" s="14">
        <v>14000</v>
      </c>
      <c r="C27" s="14">
        <v>2408</v>
      </c>
      <c r="D27" s="17">
        <f t="shared" si="2"/>
        <v>0.17199999999999999</v>
      </c>
      <c r="E27" s="17">
        <f>IF(D27="","",ABS(D27-Cálculos!$C$8))</f>
        <v>9.5000000000000084E-3</v>
      </c>
      <c r="F27" s="16" t="s">
        <v>78</v>
      </c>
      <c r="G27" s="14">
        <v>14000</v>
      </c>
      <c r="H27" s="14">
        <v>4200</v>
      </c>
      <c r="I27" s="17">
        <f t="shared" si="0"/>
        <v>0.3</v>
      </c>
      <c r="J27" s="17">
        <f>IF(I27="","",ABS(I27-Cálculos!$D$8))</f>
        <v>0.13750000000000001</v>
      </c>
      <c r="K27" s="16" t="s">
        <v>78</v>
      </c>
      <c r="L27" s="14">
        <v>14000</v>
      </c>
      <c r="M27" s="14">
        <v>3780</v>
      </c>
      <c r="N27" s="17">
        <f t="shared" si="1"/>
        <v>0.27</v>
      </c>
      <c r="O27" s="17">
        <f>IF(N27="","",ABS(N27-Cálculos!$E$8))</f>
        <v>0.10750000000000004</v>
      </c>
    </row>
  </sheetData>
  <autoFilter ref="A7:O27" xr:uid="{00000000-0009-0000-0000-000001000000}"/>
  <mergeCells count="5">
    <mergeCell ref="A2:O3"/>
    <mergeCell ref="A1:O1"/>
    <mergeCell ref="F5:J5"/>
    <mergeCell ref="A5:E5"/>
    <mergeCell ref="K5:O5"/>
  </mergeCells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B78"/>
    <pageSetUpPr fitToPage="1"/>
  </sheetPr>
  <dimension ref="A1:AC14"/>
  <sheetViews>
    <sheetView showGridLines="0" workbookViewId="0">
      <pane ySplit="5" topLeftCell="A6" activePane="bottomLeft" state="frozen"/>
      <selection pane="bottomLeft" activeCell="D7" sqref="D7"/>
    </sheetView>
  </sheetViews>
  <sheetFormatPr baseColWidth="10" defaultColWidth="8.83984375" defaultRowHeight="14.4" x14ac:dyDescent="0.55000000000000004"/>
  <cols>
    <col min="1" max="1" width="14" customWidth="1"/>
    <col min="2" max="10" width="13" customWidth="1"/>
    <col min="11" max="11" width="14" customWidth="1"/>
    <col min="12" max="20" width="13" customWidth="1"/>
    <col min="21" max="21" width="14" customWidth="1"/>
    <col min="22" max="29" width="13" customWidth="1"/>
  </cols>
  <sheetData>
    <row r="1" spans="1:29" ht="28" customHeight="1" x14ac:dyDescent="0.55000000000000004">
      <c r="A1" s="37" t="s">
        <v>79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29" x14ac:dyDescent="0.55000000000000004">
      <c r="A2" s="40" t="s">
        <v>80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 spans="1:29" x14ac:dyDescent="0.55000000000000004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</row>
    <row r="5" spans="1:29" ht="22" customHeight="1" x14ac:dyDescent="0.55000000000000004">
      <c r="A5" s="42" t="s">
        <v>81</v>
      </c>
      <c r="B5" s="34"/>
      <c r="C5" s="34"/>
      <c r="D5" s="34"/>
      <c r="E5" s="34"/>
      <c r="F5" s="34"/>
      <c r="G5" s="34"/>
      <c r="H5" s="34"/>
      <c r="I5" s="34"/>
      <c r="K5" s="41" t="s">
        <v>82</v>
      </c>
      <c r="L5" s="34"/>
      <c r="M5" s="34"/>
      <c r="N5" s="34"/>
      <c r="O5" s="34"/>
      <c r="P5" s="34"/>
      <c r="Q5" s="34"/>
      <c r="R5" s="34"/>
      <c r="S5" s="34"/>
      <c r="U5" s="43" t="s">
        <v>83</v>
      </c>
      <c r="V5" s="34"/>
      <c r="W5" s="34"/>
      <c r="X5" s="34"/>
      <c r="Y5" s="34"/>
      <c r="Z5" s="34"/>
      <c r="AA5" s="34"/>
      <c r="AB5" s="34"/>
      <c r="AC5" s="34"/>
    </row>
    <row r="6" spans="1:29" ht="30" customHeight="1" x14ac:dyDescent="0.55000000000000004">
      <c r="A6" s="10" t="s">
        <v>84</v>
      </c>
      <c r="B6" s="10" t="s">
        <v>85</v>
      </c>
      <c r="C6" s="10" t="s">
        <v>86</v>
      </c>
      <c r="D6" s="10" t="s">
        <v>87</v>
      </c>
      <c r="E6" s="10" t="s">
        <v>88</v>
      </c>
      <c r="F6" s="10" t="s">
        <v>89</v>
      </c>
      <c r="G6" s="10" t="s">
        <v>90</v>
      </c>
      <c r="H6" s="10" t="s">
        <v>91</v>
      </c>
      <c r="I6" s="10" t="s">
        <v>92</v>
      </c>
      <c r="K6" s="11" t="s">
        <v>84</v>
      </c>
      <c r="L6" s="11" t="s">
        <v>85</v>
      </c>
      <c r="M6" s="11" t="s">
        <v>86</v>
      </c>
      <c r="N6" s="11" t="s">
        <v>87</v>
      </c>
      <c r="O6" s="11" t="s">
        <v>88</v>
      </c>
      <c r="P6" s="11" t="s">
        <v>89</v>
      </c>
      <c r="Q6" s="11" t="s">
        <v>90</v>
      </c>
      <c r="R6" s="11" t="s">
        <v>91</v>
      </c>
      <c r="S6" s="11" t="s">
        <v>92</v>
      </c>
      <c r="U6" s="12" t="s">
        <v>84</v>
      </c>
      <c r="V6" s="12" t="s">
        <v>85</v>
      </c>
      <c r="W6" s="12" t="s">
        <v>86</v>
      </c>
      <c r="X6" s="12" t="s">
        <v>87</v>
      </c>
      <c r="Y6" s="12" t="s">
        <v>88</v>
      </c>
      <c r="Z6" s="12" t="s">
        <v>89</v>
      </c>
      <c r="AA6" s="12" t="s">
        <v>90</v>
      </c>
      <c r="AB6" s="12" t="s">
        <v>91</v>
      </c>
      <c r="AC6" s="12" t="s">
        <v>92</v>
      </c>
    </row>
    <row r="7" spans="1:29" x14ac:dyDescent="0.55000000000000004">
      <c r="A7" s="13" t="s">
        <v>93</v>
      </c>
      <c r="B7" s="18">
        <v>0.1</v>
      </c>
      <c r="C7" s="13">
        <f>COUNT(Datos_Prueba!$D$8:$D$27)</f>
        <v>20</v>
      </c>
      <c r="D7" s="19">
        <f>1+(C7-1)*B7</f>
        <v>2.9000000000000004</v>
      </c>
      <c r="E7" s="13">
        <f>INT(D7)</f>
        <v>2</v>
      </c>
      <c r="F7" s="19">
        <f>D7-E7</f>
        <v>0.90000000000000036</v>
      </c>
      <c r="G7" s="15">
        <f>SMALL(Datos_Prueba!$D$8:$D$27,E7)</f>
        <v>0.151</v>
      </c>
      <c r="H7" s="15">
        <f>SMALL(Datos_Prueba!$D$8:$D$27,E7+1)</f>
        <v>0.153</v>
      </c>
      <c r="I7" s="15">
        <f>G7+F7*(H7-G7)</f>
        <v>0.15279999999999999</v>
      </c>
      <c r="K7" s="13" t="s">
        <v>93</v>
      </c>
      <c r="L7" s="18">
        <v>0.1</v>
      </c>
      <c r="M7" s="13">
        <f>COUNT(Datos_Prueba!$I$8:$I$27)</f>
        <v>20</v>
      </c>
      <c r="N7" s="19">
        <f>1+(M7-1)*L7</f>
        <v>2.9000000000000004</v>
      </c>
      <c r="O7" s="13">
        <f>INT(N7)</f>
        <v>2</v>
      </c>
      <c r="P7" s="19">
        <f>N7-O7</f>
        <v>0.90000000000000036</v>
      </c>
      <c r="Q7" s="15">
        <f>SMALL(Datos_Prueba!$I$8:$I$27,O7)</f>
        <v>0.151</v>
      </c>
      <c r="R7" s="15">
        <f>SMALL(Datos_Prueba!$I$8:$I$27,O7+1)</f>
        <v>0.153</v>
      </c>
      <c r="S7" s="15">
        <f>Q7+P7*(R7-Q7)</f>
        <v>0.15279999999999999</v>
      </c>
      <c r="U7" s="13" t="s">
        <v>93</v>
      </c>
      <c r="V7" s="18">
        <v>0.1</v>
      </c>
      <c r="W7" s="13">
        <f>COUNT(Datos_Prueba!$N$8:$N$27)</f>
        <v>20</v>
      </c>
      <c r="X7" s="19">
        <f>1+(W7-1)*V7</f>
        <v>2.9000000000000004</v>
      </c>
      <c r="Y7" s="13">
        <f>INT(X7)</f>
        <v>2</v>
      </c>
      <c r="Z7" s="19">
        <f>X7-Y7</f>
        <v>0.90000000000000036</v>
      </c>
      <c r="AA7" s="15">
        <f>SMALL(Datos_Prueba!$N$8:$N$27,Y7)</f>
        <v>0.151</v>
      </c>
      <c r="AB7" s="15">
        <f>SMALL(Datos_Prueba!$N$8:$N$27,Y7+1)</f>
        <v>0.153</v>
      </c>
      <c r="AC7" s="15">
        <f>AA7+Z7*(AB7-AA7)</f>
        <v>0.15279999999999999</v>
      </c>
    </row>
    <row r="8" spans="1:29" x14ac:dyDescent="0.55000000000000004">
      <c r="A8" s="16" t="s">
        <v>94</v>
      </c>
      <c r="B8" s="20">
        <v>0.25</v>
      </c>
      <c r="C8" s="16">
        <f>COUNT(Datos_Prueba!$D$8:$D$27)</f>
        <v>20</v>
      </c>
      <c r="D8" s="21">
        <f>1+(C8-1)*B8</f>
        <v>5.75</v>
      </c>
      <c r="E8" s="16">
        <f>INT(D8)</f>
        <v>5</v>
      </c>
      <c r="F8" s="21">
        <f>D8-E8</f>
        <v>0.75</v>
      </c>
      <c r="G8" s="17">
        <f>SMALL(Datos_Prueba!$D$8:$D$27,E8)</f>
        <v>0.156</v>
      </c>
      <c r="H8" s="17">
        <f>SMALL(Datos_Prueba!$D$8:$D$27,E8+1)</f>
        <v>0.158</v>
      </c>
      <c r="I8" s="17">
        <f>G8+F8*(H8-G8)</f>
        <v>0.1575</v>
      </c>
      <c r="K8" s="16" t="s">
        <v>94</v>
      </c>
      <c r="L8" s="20">
        <v>0.25</v>
      </c>
      <c r="M8" s="16">
        <f>COUNT(Datos_Prueba!$I$8:$I$27)</f>
        <v>20</v>
      </c>
      <c r="N8" s="21">
        <f>1+(M8-1)*L8</f>
        <v>5.75</v>
      </c>
      <c r="O8" s="16">
        <f>INT(N8)</f>
        <v>5</v>
      </c>
      <c r="P8" s="21">
        <f>N8-O8</f>
        <v>0.75</v>
      </c>
      <c r="Q8" s="17">
        <f>SMALL(Datos_Prueba!$I$8:$I$27,O8)</f>
        <v>0.156</v>
      </c>
      <c r="R8" s="17">
        <f>SMALL(Datos_Prueba!$I$8:$I$27,O8+1)</f>
        <v>0.158</v>
      </c>
      <c r="S8" s="17">
        <f>Q8+P8*(R8-Q8)</f>
        <v>0.1575</v>
      </c>
      <c r="U8" s="16" t="s">
        <v>94</v>
      </c>
      <c r="V8" s="20">
        <v>0.25</v>
      </c>
      <c r="W8" s="16">
        <f>COUNT(Datos_Prueba!$N$8:$N$27)</f>
        <v>20</v>
      </c>
      <c r="X8" s="21">
        <f>1+(W8-1)*V8</f>
        <v>5.75</v>
      </c>
      <c r="Y8" s="16">
        <f>INT(X8)</f>
        <v>5</v>
      </c>
      <c r="Z8" s="21">
        <f>X8-Y8</f>
        <v>0.75</v>
      </c>
      <c r="AA8" s="17">
        <f>SMALL(Datos_Prueba!$N$8:$N$27,Y8)</f>
        <v>0.156</v>
      </c>
      <c r="AB8" s="17">
        <f>SMALL(Datos_Prueba!$N$8:$N$27,Y8+1)</f>
        <v>0.158</v>
      </c>
      <c r="AC8" s="17">
        <f>AA8+Z8*(AB8-AA8)</f>
        <v>0.1575</v>
      </c>
    </row>
    <row r="9" spans="1:29" x14ac:dyDescent="0.55000000000000004">
      <c r="A9" s="13" t="s">
        <v>95</v>
      </c>
      <c r="B9" s="18">
        <v>0.5</v>
      </c>
      <c r="C9" s="13">
        <f>COUNT(Datos_Prueba!$D$8:$D$27)</f>
        <v>20</v>
      </c>
      <c r="D9" s="19">
        <f>1+(C9-1)*B9</f>
        <v>10.5</v>
      </c>
      <c r="E9" s="13">
        <f>INT(D9)</f>
        <v>10</v>
      </c>
      <c r="F9" s="19">
        <f>D9-E9</f>
        <v>0.5</v>
      </c>
      <c r="G9" s="15">
        <f>SMALL(Datos_Prueba!$D$8:$D$27,E9)</f>
        <v>0.16199999999999998</v>
      </c>
      <c r="H9" s="15">
        <f>SMALL(Datos_Prueba!$D$8:$D$27,E9+1)</f>
        <v>0.16300000000000001</v>
      </c>
      <c r="I9" s="15">
        <f>G9+F9*(H9-G9)</f>
        <v>0.16249999999999998</v>
      </c>
      <c r="K9" s="13" t="s">
        <v>95</v>
      </c>
      <c r="L9" s="18">
        <v>0.5</v>
      </c>
      <c r="M9" s="13">
        <f>COUNT(Datos_Prueba!$I$8:$I$27)</f>
        <v>20</v>
      </c>
      <c r="N9" s="19">
        <f>1+(M9-1)*L9</f>
        <v>10.5</v>
      </c>
      <c r="O9" s="13">
        <f>INT(N9)</f>
        <v>10</v>
      </c>
      <c r="P9" s="19">
        <f>N9-O9</f>
        <v>0.5</v>
      </c>
      <c r="Q9" s="15">
        <f>SMALL(Datos_Prueba!$I$8:$I$27,O9)</f>
        <v>0.16199999999999998</v>
      </c>
      <c r="R9" s="15">
        <f>SMALL(Datos_Prueba!$I$8:$I$27,O9+1)</f>
        <v>0.16300000000000001</v>
      </c>
      <c r="S9" s="15">
        <f>Q9+P9*(R9-Q9)</f>
        <v>0.16249999999999998</v>
      </c>
      <c r="U9" s="13" t="s">
        <v>95</v>
      </c>
      <c r="V9" s="18">
        <v>0.5</v>
      </c>
      <c r="W9" s="13">
        <f>COUNT(Datos_Prueba!$N$8:$N$27)</f>
        <v>20</v>
      </c>
      <c r="X9" s="19">
        <f>1+(W9-1)*V9</f>
        <v>10.5</v>
      </c>
      <c r="Y9" s="13">
        <f>INT(X9)</f>
        <v>10</v>
      </c>
      <c r="Z9" s="19">
        <f>X9-Y9</f>
        <v>0.5</v>
      </c>
      <c r="AA9" s="15">
        <f>SMALL(Datos_Prueba!$N$8:$N$27,Y9)</f>
        <v>0.16199999999999998</v>
      </c>
      <c r="AB9" s="15">
        <f>SMALL(Datos_Prueba!$N$8:$N$27,Y9+1)</f>
        <v>0.16300000000000001</v>
      </c>
      <c r="AC9" s="15">
        <f>AA9+Z9*(AB9-AA9)</f>
        <v>0.16249999999999998</v>
      </c>
    </row>
    <row r="10" spans="1:29" x14ac:dyDescent="0.55000000000000004">
      <c r="A10" s="16" t="s">
        <v>96</v>
      </c>
      <c r="B10" s="20">
        <v>0.75</v>
      </c>
      <c r="C10" s="16">
        <f>COUNT(Datos_Prueba!$D$8:$D$27)</f>
        <v>20</v>
      </c>
      <c r="D10" s="21">
        <f>1+(C10-1)*B10</f>
        <v>15.25</v>
      </c>
      <c r="E10" s="16">
        <f>INT(D10)</f>
        <v>15</v>
      </c>
      <c r="F10" s="21">
        <f>D10-E10</f>
        <v>0.25</v>
      </c>
      <c r="G10" s="17">
        <f>SMALL(Datos_Prueba!$D$8:$D$27,E10)</f>
        <v>0.16699999999999998</v>
      </c>
      <c r="H10" s="17">
        <f>SMALL(Datos_Prueba!$D$8:$D$27,E10+1)</f>
        <v>0.16800000000000001</v>
      </c>
      <c r="I10" s="17">
        <f>G10+F10*(H10-G10)</f>
        <v>0.16724999999999998</v>
      </c>
      <c r="K10" s="16" t="s">
        <v>96</v>
      </c>
      <c r="L10" s="20">
        <v>0.75</v>
      </c>
      <c r="M10" s="16">
        <f>COUNT(Datos_Prueba!$I$8:$I$27)</f>
        <v>20</v>
      </c>
      <c r="N10" s="21">
        <f>1+(M10-1)*L10</f>
        <v>15.25</v>
      </c>
      <c r="O10" s="16">
        <f>INT(N10)</f>
        <v>15</v>
      </c>
      <c r="P10" s="21">
        <f>N10-O10</f>
        <v>0.25</v>
      </c>
      <c r="Q10" s="17">
        <f>SMALL(Datos_Prueba!$I$8:$I$27,O10)</f>
        <v>0.16699999999999998</v>
      </c>
      <c r="R10" s="17">
        <f>SMALL(Datos_Prueba!$I$8:$I$27,O10+1)</f>
        <v>0.16800000000000001</v>
      </c>
      <c r="S10" s="17">
        <f>Q10+P10*(R10-Q10)</f>
        <v>0.16724999999999998</v>
      </c>
      <c r="U10" s="16" t="s">
        <v>96</v>
      </c>
      <c r="V10" s="20">
        <v>0.75</v>
      </c>
      <c r="W10" s="16">
        <f>COUNT(Datos_Prueba!$N$8:$N$27)</f>
        <v>20</v>
      </c>
      <c r="X10" s="21">
        <f>1+(W10-1)*V10</f>
        <v>15.25</v>
      </c>
      <c r="Y10" s="16">
        <f>INT(X10)</f>
        <v>15</v>
      </c>
      <c r="Z10" s="21">
        <f>X10-Y10</f>
        <v>0.25</v>
      </c>
      <c r="AA10" s="17">
        <f>SMALL(Datos_Prueba!$N$8:$N$27,Y10)</f>
        <v>0.16699999999999998</v>
      </c>
      <c r="AB10" s="17">
        <f>SMALL(Datos_Prueba!$N$8:$N$27,Y10+1)</f>
        <v>0.17799999999999999</v>
      </c>
      <c r="AC10" s="17">
        <f>AA10+Z10*(AB10-AA10)</f>
        <v>0.16974999999999998</v>
      </c>
    </row>
    <row r="11" spans="1:29" x14ac:dyDescent="0.55000000000000004">
      <c r="A11" s="13" t="s">
        <v>97</v>
      </c>
      <c r="B11" s="18">
        <v>0.9</v>
      </c>
      <c r="C11" s="13">
        <f>COUNT(Datos_Prueba!$D$8:$D$27)</f>
        <v>20</v>
      </c>
      <c r="D11" s="19">
        <f>1+(C11-1)*B11</f>
        <v>18.100000000000001</v>
      </c>
      <c r="E11" s="13">
        <f>INT(D11)</f>
        <v>18</v>
      </c>
      <c r="F11" s="19">
        <f>D11-E11</f>
        <v>0.10000000000000142</v>
      </c>
      <c r="G11" s="15">
        <f>SMALL(Datos_Prueba!$D$8:$D$27,E11)</f>
        <v>0.17</v>
      </c>
      <c r="H11" s="15">
        <f>SMALL(Datos_Prueba!$D$8:$D$27,E11+1)</f>
        <v>0.17099999999999999</v>
      </c>
      <c r="I11" s="15">
        <f>G11+F11*(H11-G11)</f>
        <v>0.1701</v>
      </c>
      <c r="K11" s="13" t="s">
        <v>97</v>
      </c>
      <c r="L11" s="18">
        <v>0.9</v>
      </c>
      <c r="M11" s="13">
        <f>COUNT(Datos_Prueba!$I$8:$I$27)</f>
        <v>20</v>
      </c>
      <c r="N11" s="19">
        <f>1+(M11-1)*L11</f>
        <v>18.100000000000001</v>
      </c>
      <c r="O11" s="13">
        <f>INT(N11)</f>
        <v>18</v>
      </c>
      <c r="P11" s="19">
        <f>N11-O11</f>
        <v>0.10000000000000142</v>
      </c>
      <c r="Q11" s="15">
        <f>SMALL(Datos_Prueba!$I$8:$I$27,O11)</f>
        <v>0.17</v>
      </c>
      <c r="R11" s="15">
        <f>SMALL(Datos_Prueba!$I$8:$I$27,O11+1)</f>
        <v>0.17099999999999999</v>
      </c>
      <c r="S11" s="15">
        <f>Q11+P11*(R11-Q11)</f>
        <v>0.1701</v>
      </c>
      <c r="U11" s="13" t="s">
        <v>97</v>
      </c>
      <c r="V11" s="18">
        <v>0.9</v>
      </c>
      <c r="W11" s="13">
        <f>COUNT(Datos_Prueba!$N$8:$N$27)</f>
        <v>20</v>
      </c>
      <c r="X11" s="19">
        <f>1+(W11-1)*V11</f>
        <v>18.100000000000001</v>
      </c>
      <c r="Y11" s="13">
        <f>INT(X11)</f>
        <v>18</v>
      </c>
      <c r="Z11" s="19">
        <f>X11-Y11</f>
        <v>0.10000000000000142</v>
      </c>
      <c r="AA11" s="15">
        <f>SMALL(Datos_Prueba!$N$8:$N$27,Y11)</f>
        <v>0.20499999999999999</v>
      </c>
      <c r="AB11" s="15">
        <f>SMALL(Datos_Prueba!$N$8:$N$27,Y11+1)</f>
        <v>0.23</v>
      </c>
      <c r="AC11" s="15">
        <f>AA11+Z11*(AB11-AA11)</f>
        <v>0.20750000000000002</v>
      </c>
    </row>
    <row r="13" spans="1:29" x14ac:dyDescent="0.55000000000000004">
      <c r="A13" s="3" t="s">
        <v>98</v>
      </c>
      <c r="B13" s="44">
        <f>G7+F7*(H7-G7)</f>
        <v>0.15279999999999999</v>
      </c>
      <c r="C13" s="34"/>
      <c r="D13" s="34"/>
      <c r="E13" s="34"/>
      <c r="F13" s="34"/>
      <c r="G13" s="34"/>
      <c r="H13" s="34"/>
      <c r="I13" s="34"/>
      <c r="K13" s="3" t="s">
        <v>98</v>
      </c>
      <c r="L13" s="44">
        <f>Q7+P7*(R7-Q7)</f>
        <v>0.15279999999999999</v>
      </c>
      <c r="M13" s="34"/>
      <c r="N13" s="34"/>
      <c r="O13" s="34"/>
      <c r="P13" s="34"/>
      <c r="Q13" s="34"/>
      <c r="R13" s="34"/>
      <c r="S13" s="34"/>
      <c r="U13" s="3" t="s">
        <v>98</v>
      </c>
      <c r="V13" s="44">
        <f>AA7+Z7*(AB7-AA7)</f>
        <v>0.15279999999999999</v>
      </c>
      <c r="W13" s="34"/>
      <c r="X13" s="34"/>
      <c r="Y13" s="34"/>
      <c r="Z13" s="34"/>
      <c r="AA13" s="34"/>
      <c r="AB13" s="34"/>
      <c r="AC13" s="34"/>
    </row>
    <row r="14" spans="1:29" x14ac:dyDescent="0.55000000000000004">
      <c r="B14" s="34"/>
      <c r="C14" s="34"/>
      <c r="D14" s="34"/>
      <c r="E14" s="34"/>
      <c r="F14" s="34"/>
      <c r="G14" s="34"/>
      <c r="H14" s="34"/>
      <c r="I14" s="34"/>
      <c r="L14" s="34"/>
      <c r="M14" s="34"/>
      <c r="N14" s="34"/>
      <c r="O14" s="34"/>
      <c r="P14" s="34"/>
      <c r="Q14" s="34"/>
      <c r="R14" s="34"/>
      <c r="S14" s="34"/>
      <c r="V14" s="34"/>
      <c r="W14" s="34"/>
      <c r="X14" s="34"/>
      <c r="Y14" s="34"/>
      <c r="Z14" s="34"/>
      <c r="AA14" s="34"/>
      <c r="AB14" s="34"/>
      <c r="AC14" s="34"/>
    </row>
  </sheetData>
  <mergeCells count="8">
    <mergeCell ref="L13:S14"/>
    <mergeCell ref="B13:I14"/>
    <mergeCell ref="A1:AC1"/>
    <mergeCell ref="V13:AC14"/>
    <mergeCell ref="U5:AC5"/>
    <mergeCell ref="A5:I5"/>
    <mergeCell ref="K5:S5"/>
    <mergeCell ref="A2:AC3"/>
  </mergeCells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  <pageSetUpPr fitToPage="1"/>
  </sheetPr>
  <dimension ref="A1:H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C7" sqref="C7"/>
    </sheetView>
  </sheetViews>
  <sheetFormatPr baseColWidth="10" defaultColWidth="8.83984375" defaultRowHeight="14.4" x14ac:dyDescent="0.55000000000000004"/>
  <cols>
    <col min="1" max="1" width="29" customWidth="1"/>
    <col min="2" max="2" width="32" customWidth="1"/>
    <col min="3" max="5" width="16" customWidth="1"/>
    <col min="6" max="6" width="3" customWidth="1"/>
    <col min="7" max="7" width="26" customWidth="1"/>
    <col min="8" max="8" width="28" customWidth="1"/>
  </cols>
  <sheetData>
    <row r="1" spans="1:8" ht="28" customHeight="1" x14ac:dyDescent="0.55000000000000004">
      <c r="A1" s="37" t="s">
        <v>99</v>
      </c>
      <c r="B1" s="34"/>
      <c r="C1" s="34"/>
      <c r="D1" s="34"/>
      <c r="E1" s="34"/>
      <c r="F1" s="34"/>
      <c r="G1" s="34"/>
      <c r="H1" s="34"/>
    </row>
    <row r="2" spans="1:8" x14ac:dyDescent="0.55000000000000004">
      <c r="A2" s="45" t="s">
        <v>100</v>
      </c>
      <c r="B2" s="34"/>
      <c r="C2" s="34"/>
      <c r="D2" s="34"/>
      <c r="E2" s="34"/>
    </row>
    <row r="3" spans="1:8" ht="22" customHeight="1" x14ac:dyDescent="0.55000000000000004">
      <c r="A3" s="22" t="s">
        <v>101</v>
      </c>
      <c r="B3" s="22" t="s">
        <v>102</v>
      </c>
      <c r="C3" s="22" t="s">
        <v>103</v>
      </c>
      <c r="D3" s="22" t="s">
        <v>104</v>
      </c>
      <c r="E3" s="22" t="s">
        <v>105</v>
      </c>
      <c r="G3" s="43" t="s">
        <v>106</v>
      </c>
      <c r="H3" s="34"/>
    </row>
    <row r="4" spans="1:8" x14ac:dyDescent="0.55000000000000004">
      <c r="A4" s="13" t="s">
        <v>107</v>
      </c>
      <c r="B4" s="13" t="s">
        <v>86</v>
      </c>
      <c r="C4" s="23">
        <f>COUNT(Datos_Prueba!$D$8:$D$27)</f>
        <v>20</v>
      </c>
      <c r="D4" s="23">
        <f>COUNT(Datos_Prueba!$I$8:$I$27)</f>
        <v>20</v>
      </c>
      <c r="E4" s="23">
        <f>COUNT(Datos_Prueba!$N$8:$N$27)</f>
        <v>20</v>
      </c>
    </row>
    <row r="5" spans="1:8" x14ac:dyDescent="0.55000000000000004">
      <c r="A5" s="16" t="s">
        <v>108</v>
      </c>
      <c r="B5" s="16" t="s">
        <v>109</v>
      </c>
      <c r="C5" s="17">
        <f>AVERAGE(Datos_Prueba!$D$8:$D$27)</f>
        <v>0.16189999999999999</v>
      </c>
      <c r="D5" s="17">
        <f>AVERAGE(Datos_Prueba!$I$8:$I$27)</f>
        <v>0.16829999999999995</v>
      </c>
      <c r="E5" s="17">
        <f>AVERAGE(Datos_Prueba!$N$8:$N$27)</f>
        <v>0.17304999999999998</v>
      </c>
      <c r="G5" s="24" t="s">
        <v>110</v>
      </c>
      <c r="H5" s="25">
        <v>1.96</v>
      </c>
    </row>
    <row r="6" spans="1:8" x14ac:dyDescent="0.55000000000000004">
      <c r="A6" s="13" t="s">
        <v>111</v>
      </c>
      <c r="B6" s="13" t="s">
        <v>112</v>
      </c>
      <c r="C6" s="15">
        <f>_xlfn.VAR.S(Datos_Prueba!$D$8:$D$27)</f>
        <v>4.7252631578947386E-5</v>
      </c>
      <c r="D6" s="15">
        <f>_xlfn.VAR.S(Datos_Prueba!$I$8:$I$27)</f>
        <v>1.0025368421052786E-3</v>
      </c>
      <c r="E6" s="15">
        <f>_xlfn.VAR.S(Datos_Prueba!$N$8:$N$27)</f>
        <v>9.1068157894737636E-4</v>
      </c>
      <c r="G6" s="24" t="s">
        <v>113</v>
      </c>
      <c r="H6" s="25">
        <v>1.4825999999999999</v>
      </c>
    </row>
    <row r="7" spans="1:8" x14ac:dyDescent="0.55000000000000004">
      <c r="A7" s="16" t="s">
        <v>114</v>
      </c>
      <c r="B7" s="16" t="s">
        <v>115</v>
      </c>
      <c r="C7" s="17">
        <f>STDEV(Datos_Prueba!$D$8:$D$27)</f>
        <v>6.8740549589705333E-3</v>
      </c>
      <c r="D7" s="17">
        <f>STDEV(Datos_Prueba!$I$8:$I$27)</f>
        <v>3.1662862190668717E-2</v>
      </c>
      <c r="E7" s="17">
        <f>STDEV(Datos_Prueba!$N$8:$N$27)</f>
        <v>3.0177501204496311E-2</v>
      </c>
    </row>
    <row r="8" spans="1:8" x14ac:dyDescent="0.55000000000000004">
      <c r="A8" s="13" t="s">
        <v>116</v>
      </c>
      <c r="B8" s="13" t="s">
        <v>117</v>
      </c>
      <c r="C8" s="15">
        <f>MEDIAN(Datos_Prueba!$D$8:$D$27)</f>
        <v>0.16249999999999998</v>
      </c>
      <c r="D8" s="15">
        <f>MEDIAN(Datos_Prueba!$I$8:$I$27)</f>
        <v>0.16249999999999998</v>
      </c>
      <c r="E8" s="15">
        <f>MEDIAN(Datos_Prueba!$N$8:$N$27)</f>
        <v>0.16249999999999998</v>
      </c>
      <c r="G8" s="4" t="s">
        <v>118</v>
      </c>
      <c r="H8" s="35" t="s">
        <v>119</v>
      </c>
    </row>
    <row r="9" spans="1:8" x14ac:dyDescent="0.55000000000000004">
      <c r="A9" s="16" t="s">
        <v>120</v>
      </c>
      <c r="B9" s="16" t="s">
        <v>121</v>
      </c>
      <c r="C9" s="26">
        <f>IF(C5=0,0,C7/C5)</f>
        <v>4.2458647059731527E-2</v>
      </c>
      <c r="D9" s="26">
        <f>IF(D5=0,0,D7/D5)</f>
        <v>0.18813346518519741</v>
      </c>
      <c r="E9" s="26">
        <f>IF(E5=0,0,E7/E5)</f>
        <v>0.17438602256282182</v>
      </c>
      <c r="H9" s="34"/>
    </row>
    <row r="10" spans="1:8" x14ac:dyDescent="0.55000000000000004">
      <c r="A10" s="13" t="s">
        <v>122</v>
      </c>
      <c r="B10" s="13" t="s">
        <v>123</v>
      </c>
      <c r="C10" s="15">
        <f>MIN(Datos_Prueba!$D$8:$D$27)</f>
        <v>0.14799999999999999</v>
      </c>
      <c r="D10" s="15">
        <f>MIN(Datos_Prueba!$I$8:$I$27)</f>
        <v>0.14799999999999999</v>
      </c>
      <c r="E10" s="15">
        <f>MIN(Datos_Prueba!$N$8:$N$27)</f>
        <v>0.14799999999999999</v>
      </c>
      <c r="H10" s="34"/>
    </row>
    <row r="11" spans="1:8" x14ac:dyDescent="0.55000000000000004">
      <c r="A11" s="16" t="s">
        <v>124</v>
      </c>
      <c r="B11" s="16" t="s">
        <v>125</v>
      </c>
      <c r="C11" s="17">
        <f>MAX(Datos_Prueba!$D$8:$D$27)</f>
        <v>0.17199999999999999</v>
      </c>
      <c r="D11" s="17">
        <f>MAX(Datos_Prueba!$I$8:$I$27)</f>
        <v>0.3</v>
      </c>
      <c r="E11" s="17">
        <f>MAX(Datos_Prueba!$N$8:$N$27)</f>
        <v>0.27</v>
      </c>
    </row>
    <row r="12" spans="1:8" x14ac:dyDescent="0.55000000000000004">
      <c r="A12" s="13" t="s">
        <v>93</v>
      </c>
      <c r="B12" s="13" t="s">
        <v>126</v>
      </c>
      <c r="C12" s="15">
        <f>Percentiles!$I$7</f>
        <v>0.15279999999999999</v>
      </c>
      <c r="D12" s="15">
        <f>Percentiles!$S$7</f>
        <v>0.15279999999999999</v>
      </c>
      <c r="E12" s="15">
        <f>Percentiles!$AC$7</f>
        <v>0.15279999999999999</v>
      </c>
    </row>
    <row r="13" spans="1:8" x14ac:dyDescent="0.55000000000000004">
      <c r="A13" s="16" t="s">
        <v>94</v>
      </c>
      <c r="B13" s="16" t="s">
        <v>127</v>
      </c>
      <c r="C13" s="17">
        <f>Percentiles!$I$8</f>
        <v>0.1575</v>
      </c>
      <c r="D13" s="17">
        <f>Percentiles!$S$8</f>
        <v>0.1575</v>
      </c>
      <c r="E13" s="17">
        <f>Percentiles!$AC$8</f>
        <v>0.1575</v>
      </c>
    </row>
    <row r="14" spans="1:8" x14ac:dyDescent="0.55000000000000004">
      <c r="A14" s="13" t="s">
        <v>95</v>
      </c>
      <c r="B14" s="13" t="s">
        <v>128</v>
      </c>
      <c r="C14" s="15">
        <f>Percentiles!$I$9</f>
        <v>0.16249999999999998</v>
      </c>
      <c r="D14" s="15">
        <f>Percentiles!$S$9</f>
        <v>0.16249999999999998</v>
      </c>
      <c r="E14" s="15">
        <f>Percentiles!$AC$9</f>
        <v>0.16249999999999998</v>
      </c>
    </row>
    <row r="15" spans="1:8" x14ac:dyDescent="0.55000000000000004">
      <c r="A15" s="16" t="s">
        <v>96</v>
      </c>
      <c r="B15" s="16" t="s">
        <v>129</v>
      </c>
      <c r="C15" s="17">
        <f>Percentiles!$I$10</f>
        <v>0.16724999999999998</v>
      </c>
      <c r="D15" s="17">
        <f>Percentiles!$S$10</f>
        <v>0.16724999999999998</v>
      </c>
      <c r="E15" s="17">
        <f>Percentiles!$AC$10</f>
        <v>0.16974999999999998</v>
      </c>
    </row>
    <row r="16" spans="1:8" x14ac:dyDescent="0.55000000000000004">
      <c r="A16" s="13" t="s">
        <v>97</v>
      </c>
      <c r="B16" s="13" t="s">
        <v>130</v>
      </c>
      <c r="C16" s="15">
        <f>Percentiles!$I$11</f>
        <v>0.1701</v>
      </c>
      <c r="D16" s="15">
        <f>Percentiles!$S$11</f>
        <v>0.1701</v>
      </c>
      <c r="E16" s="15">
        <f>Percentiles!$AC$11</f>
        <v>0.20750000000000002</v>
      </c>
    </row>
    <row r="17" spans="1:5" x14ac:dyDescent="0.55000000000000004">
      <c r="A17" s="16" t="s">
        <v>131</v>
      </c>
      <c r="B17" s="16" t="s">
        <v>132</v>
      </c>
      <c r="C17" s="17">
        <f>C15-C13</f>
        <v>9.7499999999999809E-3</v>
      </c>
      <c r="D17" s="17">
        <f>D15-D13</f>
        <v>9.7499999999999809E-3</v>
      </c>
      <c r="E17" s="17">
        <f>E15-E13</f>
        <v>1.2249999999999983E-2</v>
      </c>
    </row>
    <row r="18" spans="1:5" x14ac:dyDescent="0.55000000000000004">
      <c r="A18" s="13" t="s">
        <v>133</v>
      </c>
      <c r="B18" s="13" t="s">
        <v>134</v>
      </c>
      <c r="C18" s="15">
        <f>MEDIAN(Datos_Prueba!$E$8:$E$27)</f>
        <v>5.0000000000000183E-3</v>
      </c>
      <c r="D18" s="15">
        <f>MEDIAN(Datos_Prueba!$J$8:$J$27)</f>
        <v>5.0000000000000183E-3</v>
      </c>
      <c r="E18" s="15">
        <f>MEDIAN(Datos_Prueba!$O$8:$O$27)</f>
        <v>5.499999999999991E-3</v>
      </c>
    </row>
    <row r="19" spans="1:5" x14ac:dyDescent="0.55000000000000004">
      <c r="A19" s="16" t="s">
        <v>135</v>
      </c>
      <c r="B19" s="16" t="s">
        <v>136</v>
      </c>
      <c r="C19" s="17">
        <f>C18*$H$6</f>
        <v>7.4130000000000263E-3</v>
      </c>
      <c r="D19" s="17">
        <f>D18*$H$6</f>
        <v>7.4130000000000263E-3</v>
      </c>
      <c r="E19" s="17">
        <f>E18*$H$6</f>
        <v>8.1542999999999859E-3</v>
      </c>
    </row>
    <row r="20" spans="1:5" x14ac:dyDescent="0.55000000000000004">
      <c r="A20" s="13" t="s">
        <v>137</v>
      </c>
      <c r="B20" s="13" t="s">
        <v>138</v>
      </c>
      <c r="C20" s="15">
        <f>C7/SQRT(C4)</f>
        <v>1.537085416932764E-3</v>
      </c>
      <c r="D20" s="15">
        <f>D7/SQRT(D4)</f>
        <v>7.0800312220543156E-3</v>
      </c>
      <c r="E20" s="15">
        <f>E7/SQRT(E4)</f>
        <v>6.7478944084335534E-3</v>
      </c>
    </row>
    <row r="21" spans="1:5" x14ac:dyDescent="0.55000000000000004">
      <c r="A21" s="16" t="s">
        <v>139</v>
      </c>
      <c r="B21" s="16" t="s">
        <v>140</v>
      </c>
      <c r="C21" s="17">
        <f>$H$5*C20</f>
        <v>3.0126874171882176E-3</v>
      </c>
      <c r="D21" s="17">
        <f>$H$5*D20</f>
        <v>1.3876861195226459E-2</v>
      </c>
      <c r="E21" s="17">
        <f>$H$5*E20</f>
        <v>1.3225873040529764E-2</v>
      </c>
    </row>
    <row r="22" spans="1:5" x14ac:dyDescent="0.55000000000000004">
      <c r="A22" s="13" t="s">
        <v>141</v>
      </c>
      <c r="B22" s="13" t="s">
        <v>142</v>
      </c>
      <c r="C22" s="15">
        <f>C5-C21</f>
        <v>0.15888731258281177</v>
      </c>
      <c r="D22" s="15">
        <f>D5-D21</f>
        <v>0.15442313880477349</v>
      </c>
      <c r="E22" s="15">
        <f>E5-E21</f>
        <v>0.15982412695947021</v>
      </c>
    </row>
    <row r="23" spans="1:5" x14ac:dyDescent="0.55000000000000004">
      <c r="A23" s="16" t="s">
        <v>143</v>
      </c>
      <c r="B23" s="16" t="s">
        <v>144</v>
      </c>
      <c r="C23" s="17">
        <f>C5+C21</f>
        <v>0.1649126874171882</v>
      </c>
      <c r="D23" s="17">
        <f>D5+D21</f>
        <v>0.18217686119522641</v>
      </c>
      <c r="E23" s="17">
        <f>E5+E21</f>
        <v>0.18627587304052975</v>
      </c>
    </row>
  </sheetData>
  <mergeCells count="4">
    <mergeCell ref="A2:E2"/>
    <mergeCell ref="G3:H3"/>
    <mergeCell ref="H8:H10"/>
    <mergeCell ref="A1:H1"/>
  </mergeCells>
  <pageMargins left="0.25" right="0.25" top="0.5" bottom="0.5" header="0.5" footer="0.5"/>
  <pageSetup fitToHeight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B183"/>
    <pageSetUpPr fitToPage="1"/>
  </sheetPr>
  <dimension ref="A1:P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7" sqref="C7"/>
    </sheetView>
  </sheetViews>
  <sheetFormatPr baseColWidth="10" defaultColWidth="8.83984375" defaultRowHeight="14.4" x14ac:dyDescent="0.55000000000000004"/>
  <cols>
    <col min="1" max="1" width="15" customWidth="1"/>
    <col min="2" max="2" width="28" customWidth="1"/>
    <col min="3" max="3" width="12" customWidth="1"/>
    <col min="4" max="5" width="16" customWidth="1"/>
    <col min="6" max="6" width="14" customWidth="1"/>
    <col min="7" max="8" width="17" customWidth="1"/>
    <col min="9" max="11" width="15" customWidth="1"/>
    <col min="12" max="12" width="17" customWidth="1"/>
    <col min="13" max="13" width="16" customWidth="1"/>
    <col min="14" max="15" width="15" customWidth="1"/>
    <col min="16" max="16" width="39" customWidth="1"/>
  </cols>
  <sheetData>
    <row r="1" spans="1:16" ht="28" customHeight="1" x14ac:dyDescent="0.55000000000000004">
      <c r="A1" s="37" t="s">
        <v>145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x14ac:dyDescent="0.55000000000000004">
      <c r="A2" s="40" t="s">
        <v>146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6" x14ac:dyDescent="0.55000000000000004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5" spans="1:16" ht="30" customHeight="1" x14ac:dyDescent="0.55000000000000004">
      <c r="A5" s="22" t="s">
        <v>147</v>
      </c>
      <c r="B5" s="22" t="s">
        <v>148</v>
      </c>
      <c r="C5" s="22" t="s">
        <v>149</v>
      </c>
      <c r="D5" s="22" t="s">
        <v>150</v>
      </c>
      <c r="E5" s="22" t="s">
        <v>151</v>
      </c>
      <c r="F5" s="22" t="s">
        <v>152</v>
      </c>
      <c r="G5" s="22" t="s">
        <v>153</v>
      </c>
      <c r="H5" s="22" t="s">
        <v>154</v>
      </c>
      <c r="I5" s="22" t="s">
        <v>155</v>
      </c>
      <c r="J5" s="22" t="s">
        <v>156</v>
      </c>
      <c r="K5" s="22" t="s">
        <v>157</v>
      </c>
      <c r="L5" s="22" t="s">
        <v>158</v>
      </c>
      <c r="M5" s="22" t="s">
        <v>159</v>
      </c>
      <c r="N5" s="22" t="s">
        <v>160</v>
      </c>
      <c r="O5" s="22" t="s">
        <v>161</v>
      </c>
      <c r="P5" s="22" t="s">
        <v>162</v>
      </c>
    </row>
    <row r="6" spans="1:16" ht="25.8" x14ac:dyDescent="0.55000000000000004">
      <c r="A6" s="13" t="s">
        <v>103</v>
      </c>
      <c r="B6" s="13" t="s">
        <v>29</v>
      </c>
      <c r="C6" s="15">
        <f>Cálculos!C5</f>
        <v>0.16189999999999999</v>
      </c>
      <c r="D6" s="15">
        <f>C6-Cálculos!C7</f>
        <v>0.15502594504102946</v>
      </c>
      <c r="E6" s="15">
        <f>C6+Cálculos!C7</f>
        <v>0.16877405495897052</v>
      </c>
      <c r="F6" s="15">
        <f t="shared" ref="F6:F14" si="0">E6-D6</f>
        <v>1.3748109917941065E-2</v>
      </c>
      <c r="G6" s="15">
        <f>C6-2*Cálculos!C7</f>
        <v>0.14815189008205892</v>
      </c>
      <c r="H6" s="15">
        <f>C6+2*Cálculos!C7</f>
        <v>0.17564810991794105</v>
      </c>
      <c r="I6" s="15">
        <f t="shared" ref="I6:I14" si="1">H6-G6</f>
        <v>2.749621983588213E-2</v>
      </c>
      <c r="J6" s="23">
        <f>COUNT(Datos_Prueba!$D$8:$D$27)-COUNTIF(Datos_Prueba!$D$8:$D$27,"&lt;"&amp;D6)-COUNTIF(Datos_Prueba!$D$8:$D$27,"&gt;"&amp;E6)</f>
        <v>12</v>
      </c>
      <c r="K6" s="27">
        <f>J6/COUNT(Datos_Prueba!$D$8:$D$27)</f>
        <v>0.6</v>
      </c>
      <c r="L6" s="23">
        <f>COUNT(Datos_Prueba!$D$8:$D$27)-COUNTIF(Datos_Prueba!$D$8:$D$27,"&lt;"&amp;G6)-COUNTIF(Datos_Prueba!$D$8:$D$27,"&gt;"&amp;H6)</f>
        <v>19</v>
      </c>
      <c r="M6" s="27">
        <f>L6/COUNT(Datos_Prueba!$D$8:$D$27)</f>
        <v>0.95</v>
      </c>
      <c r="N6" s="23">
        <f>COUNT(Datos_Prueba!$D$8:$D$27)-L6</f>
        <v>1</v>
      </c>
      <c r="O6" s="13" t="s">
        <v>163</v>
      </c>
      <c r="P6" s="13" t="s">
        <v>164</v>
      </c>
    </row>
    <row r="7" spans="1:16" x14ac:dyDescent="0.55000000000000004">
      <c r="A7" s="16" t="s">
        <v>103</v>
      </c>
      <c r="B7" s="16" t="s">
        <v>32</v>
      </c>
      <c r="C7" s="17">
        <f>Cálculos!C8</f>
        <v>0.16249999999999998</v>
      </c>
      <c r="D7" s="17">
        <f>C7-Cálculos!C19</f>
        <v>0.15508699999999995</v>
      </c>
      <c r="E7" s="17">
        <f>C7+Cálculos!C19</f>
        <v>0.16991300000000001</v>
      </c>
      <c r="F7" s="17">
        <f t="shared" si="0"/>
        <v>1.4826000000000061E-2</v>
      </c>
      <c r="G7" s="17">
        <f>C7-2*Cálculos!C19</f>
        <v>0.14767399999999992</v>
      </c>
      <c r="H7" s="17">
        <f>C7+2*Cálculos!C19</f>
        <v>0.17732600000000004</v>
      </c>
      <c r="I7" s="17">
        <f t="shared" si="1"/>
        <v>2.9652000000000123E-2</v>
      </c>
      <c r="J7" s="28">
        <f>COUNT(Datos_Prueba!$D$8:$D$27)-COUNTIF(Datos_Prueba!$D$8:$D$27,"&lt;"&amp;D7)-COUNTIF(Datos_Prueba!$D$8:$D$27,"&gt;"&amp;E7)</f>
        <v>13</v>
      </c>
      <c r="K7" s="26">
        <f>J7/COUNT(Datos_Prueba!$D$8:$D$27)</f>
        <v>0.65</v>
      </c>
      <c r="L7" s="28">
        <f>COUNT(Datos_Prueba!$D$8:$D$27)-COUNTIF(Datos_Prueba!$D$8:$D$27,"&lt;"&amp;G7)-COUNTIF(Datos_Prueba!$D$8:$D$27,"&gt;"&amp;H7)</f>
        <v>20</v>
      </c>
      <c r="M7" s="26">
        <f>L7/COUNT(Datos_Prueba!$D$8:$D$27)</f>
        <v>1</v>
      </c>
      <c r="N7" s="28">
        <f>COUNT(Datos_Prueba!$D$8:$D$27)-L7</f>
        <v>0</v>
      </c>
      <c r="O7" s="16" t="s">
        <v>108</v>
      </c>
      <c r="P7" s="16" t="s">
        <v>165</v>
      </c>
    </row>
    <row r="8" spans="1:16" ht="25.8" x14ac:dyDescent="0.55000000000000004">
      <c r="A8" s="13" t="s">
        <v>103</v>
      </c>
      <c r="B8" s="13" t="s">
        <v>35</v>
      </c>
      <c r="C8" s="15">
        <f>Cálculos!C14</f>
        <v>0.16249999999999998</v>
      </c>
      <c r="D8" s="15">
        <f>Cálculos!C13</f>
        <v>0.1575</v>
      </c>
      <c r="E8" s="15">
        <f>Cálculos!C15</f>
        <v>0.16724999999999998</v>
      </c>
      <c r="F8" s="15">
        <f t="shared" si="0"/>
        <v>9.7499999999999809E-3</v>
      </c>
      <c r="G8" s="15">
        <f>Cálculos!C12</f>
        <v>0.15279999999999999</v>
      </c>
      <c r="H8" s="15">
        <f>Cálculos!C16</f>
        <v>0.1701</v>
      </c>
      <c r="I8" s="15">
        <f t="shared" si="1"/>
        <v>1.730000000000001E-2</v>
      </c>
      <c r="J8" s="23">
        <f>COUNT(Datos_Prueba!$D$8:$D$27)-COUNTIF(Datos_Prueba!$D$8:$D$27,"&lt;"&amp;D8)-COUNTIF(Datos_Prueba!$D$8:$D$27,"&gt;"&amp;E8)</f>
        <v>10</v>
      </c>
      <c r="K8" s="27">
        <f>J8/COUNT(Datos_Prueba!$D$8:$D$27)</f>
        <v>0.5</v>
      </c>
      <c r="L8" s="23">
        <f>COUNT(Datos_Prueba!$D$8:$D$27)-COUNTIF(Datos_Prueba!$D$8:$D$27,"&lt;"&amp;G8)-COUNTIF(Datos_Prueba!$D$8:$D$27,"&gt;"&amp;H8)</f>
        <v>16</v>
      </c>
      <c r="M8" s="27">
        <f>L8/COUNT(Datos_Prueba!$D$8:$D$27)</f>
        <v>0.8</v>
      </c>
      <c r="N8" s="23">
        <f>COUNT(Datos_Prueba!$D$8:$D$27)-L8</f>
        <v>4</v>
      </c>
      <c r="O8" s="13" t="s">
        <v>108</v>
      </c>
      <c r="P8" s="13" t="s">
        <v>166</v>
      </c>
    </row>
    <row r="9" spans="1:16" ht="25.8" x14ac:dyDescent="0.55000000000000004">
      <c r="A9" s="16" t="s">
        <v>104</v>
      </c>
      <c r="B9" s="16" t="s">
        <v>29</v>
      </c>
      <c r="C9" s="17">
        <f>Cálculos!D5</f>
        <v>0.16829999999999995</v>
      </c>
      <c r="D9" s="17">
        <f>C9-Cálculos!D7</f>
        <v>0.13663713780933123</v>
      </c>
      <c r="E9" s="17">
        <f>C9+Cálculos!D7</f>
        <v>0.19996286219066867</v>
      </c>
      <c r="F9" s="17">
        <f t="shared" si="0"/>
        <v>6.3325724381337434E-2</v>
      </c>
      <c r="G9" s="17">
        <f>C9-2*Cálculos!D7</f>
        <v>0.10497427561866252</v>
      </c>
      <c r="H9" s="17">
        <f>C9+2*Cálculos!D7</f>
        <v>0.23162572438133738</v>
      </c>
      <c r="I9" s="17">
        <f t="shared" si="1"/>
        <v>0.12665144876267487</v>
      </c>
      <c r="J9" s="28">
        <f>COUNT(Datos_Prueba!$I$8:$I$27)-COUNTIF(Datos_Prueba!$I$8:$I$27,"&lt;"&amp;D9)-COUNTIF(Datos_Prueba!$I$8:$I$27,"&gt;"&amp;E9)</f>
        <v>19</v>
      </c>
      <c r="K9" s="26">
        <f>J9/COUNT(Datos_Prueba!$I$8:$I$27)</f>
        <v>0.95</v>
      </c>
      <c r="L9" s="28">
        <f>COUNT(Datos_Prueba!$I$8:$I$27)-COUNTIF(Datos_Prueba!$I$8:$I$27,"&lt;"&amp;G9)-COUNTIF(Datos_Prueba!$I$8:$I$27,"&gt;"&amp;H9)</f>
        <v>19</v>
      </c>
      <c r="M9" s="26">
        <f>L9/COUNT(Datos_Prueba!$I$8:$I$27)</f>
        <v>0.95</v>
      </c>
      <c r="N9" s="28">
        <f>COUNT(Datos_Prueba!$I$8:$I$27)-L9</f>
        <v>1</v>
      </c>
      <c r="O9" s="16" t="s">
        <v>167</v>
      </c>
      <c r="P9" s="16" t="s">
        <v>164</v>
      </c>
    </row>
    <row r="10" spans="1:16" x14ac:dyDescent="0.55000000000000004">
      <c r="A10" s="13" t="s">
        <v>104</v>
      </c>
      <c r="B10" s="13" t="s">
        <v>32</v>
      </c>
      <c r="C10" s="15">
        <f>Cálculos!D8</f>
        <v>0.16249999999999998</v>
      </c>
      <c r="D10" s="15">
        <f>C10-Cálculos!D19</f>
        <v>0.15508699999999995</v>
      </c>
      <c r="E10" s="15">
        <f>C10+Cálculos!D19</f>
        <v>0.16991300000000001</v>
      </c>
      <c r="F10" s="15">
        <f t="shared" si="0"/>
        <v>1.4826000000000061E-2</v>
      </c>
      <c r="G10" s="15">
        <f>C10-2*Cálculos!D19</f>
        <v>0.14767399999999992</v>
      </c>
      <c r="H10" s="15">
        <f>C10+2*Cálculos!D19</f>
        <v>0.17732600000000004</v>
      </c>
      <c r="I10" s="15">
        <f t="shared" si="1"/>
        <v>2.9652000000000123E-2</v>
      </c>
      <c r="J10" s="23">
        <f>COUNT(Datos_Prueba!$I$8:$I$27)-COUNTIF(Datos_Prueba!$I$8:$I$27,"&lt;"&amp;D10)-COUNTIF(Datos_Prueba!$I$8:$I$27,"&gt;"&amp;E10)</f>
        <v>13</v>
      </c>
      <c r="K10" s="27">
        <f>J10/COUNT(Datos_Prueba!$I$8:$I$27)</f>
        <v>0.65</v>
      </c>
      <c r="L10" s="23">
        <f>COUNT(Datos_Prueba!$I$8:$I$27)-COUNTIF(Datos_Prueba!$I$8:$I$27,"&lt;"&amp;G10)-COUNTIF(Datos_Prueba!$I$8:$I$27,"&gt;"&amp;H10)</f>
        <v>19</v>
      </c>
      <c r="M10" s="27">
        <f>L10/COUNT(Datos_Prueba!$I$8:$I$27)</f>
        <v>0.95</v>
      </c>
      <c r="N10" s="23">
        <f>COUNT(Datos_Prueba!$I$8:$I$27)-L10</f>
        <v>1</v>
      </c>
      <c r="O10" s="13" t="s">
        <v>163</v>
      </c>
      <c r="P10" s="13" t="s">
        <v>165</v>
      </c>
    </row>
    <row r="11" spans="1:16" ht="25.8" x14ac:dyDescent="0.55000000000000004">
      <c r="A11" s="16" t="s">
        <v>104</v>
      </c>
      <c r="B11" s="16" t="s">
        <v>35</v>
      </c>
      <c r="C11" s="17">
        <f>Cálculos!D14</f>
        <v>0.16249999999999998</v>
      </c>
      <c r="D11" s="17">
        <f>Cálculos!D13</f>
        <v>0.1575</v>
      </c>
      <c r="E11" s="17">
        <f>Cálculos!D15</f>
        <v>0.16724999999999998</v>
      </c>
      <c r="F11" s="17">
        <f t="shared" si="0"/>
        <v>9.7499999999999809E-3</v>
      </c>
      <c r="G11" s="17">
        <f>Cálculos!D12</f>
        <v>0.15279999999999999</v>
      </c>
      <c r="H11" s="17">
        <f>Cálculos!D16</f>
        <v>0.1701</v>
      </c>
      <c r="I11" s="17">
        <f t="shared" si="1"/>
        <v>1.730000000000001E-2</v>
      </c>
      <c r="J11" s="28">
        <f>COUNT(Datos_Prueba!$I$8:$I$27)-COUNTIF(Datos_Prueba!$I$8:$I$27,"&lt;"&amp;D11)-COUNTIF(Datos_Prueba!$I$8:$I$27,"&gt;"&amp;E11)</f>
        <v>10</v>
      </c>
      <c r="K11" s="26">
        <f>J11/COUNT(Datos_Prueba!$I$8:$I$27)</f>
        <v>0.5</v>
      </c>
      <c r="L11" s="28">
        <f>COUNT(Datos_Prueba!$I$8:$I$27)-COUNTIF(Datos_Prueba!$I$8:$I$27,"&lt;"&amp;G11)-COUNTIF(Datos_Prueba!$I$8:$I$27,"&gt;"&amp;H11)</f>
        <v>16</v>
      </c>
      <c r="M11" s="26">
        <f>L11/COUNT(Datos_Prueba!$I$8:$I$27)</f>
        <v>0.8</v>
      </c>
      <c r="N11" s="28">
        <f>COUNT(Datos_Prueba!$I$8:$I$27)-L11</f>
        <v>4</v>
      </c>
      <c r="O11" s="16" t="s">
        <v>108</v>
      </c>
      <c r="P11" s="16" t="s">
        <v>166</v>
      </c>
    </row>
    <row r="12" spans="1:16" ht="25.8" x14ac:dyDescent="0.55000000000000004">
      <c r="A12" s="13" t="s">
        <v>105</v>
      </c>
      <c r="B12" s="13" t="s">
        <v>29</v>
      </c>
      <c r="C12" s="15">
        <f>Cálculos!E5</f>
        <v>0.17304999999999998</v>
      </c>
      <c r="D12" s="15">
        <f>C12-Cálculos!E7</f>
        <v>0.14287249879550368</v>
      </c>
      <c r="E12" s="15">
        <f>C12+Cálculos!E7</f>
        <v>0.20322750120449629</v>
      </c>
      <c r="F12" s="15">
        <f t="shared" si="0"/>
        <v>6.0355002408992608E-2</v>
      </c>
      <c r="G12" s="15">
        <f>C12-2*Cálculos!E7</f>
        <v>0.11269499759100736</v>
      </c>
      <c r="H12" s="15">
        <f>C12+2*Cálculos!E7</f>
        <v>0.23340500240899259</v>
      </c>
      <c r="I12" s="15">
        <f t="shared" si="1"/>
        <v>0.12071000481798523</v>
      </c>
      <c r="J12" s="23">
        <f>COUNT(Datos_Prueba!$N$8:$N$27)-COUNTIF(Datos_Prueba!$N$8:$N$27,"&lt;"&amp;D12)-COUNTIF(Datos_Prueba!$N$8:$N$27,"&gt;"&amp;E12)</f>
        <v>17</v>
      </c>
      <c r="K12" s="27">
        <f>J12/COUNT(Datos_Prueba!$N$8:$N$27)</f>
        <v>0.85</v>
      </c>
      <c r="L12" s="23">
        <f>COUNT(Datos_Prueba!$N$8:$N$27)-COUNTIF(Datos_Prueba!$N$8:$N$27,"&lt;"&amp;G12)-COUNTIF(Datos_Prueba!$N$8:$N$27,"&gt;"&amp;H12)</f>
        <v>19</v>
      </c>
      <c r="M12" s="27">
        <f>L12/COUNT(Datos_Prueba!$N$8:$N$27)</f>
        <v>0.95</v>
      </c>
      <c r="N12" s="23">
        <f>COUNT(Datos_Prueba!$N$8:$N$27)-L12</f>
        <v>1</v>
      </c>
      <c r="O12" s="13" t="s">
        <v>108</v>
      </c>
      <c r="P12" s="13" t="s">
        <v>164</v>
      </c>
    </row>
    <row r="13" spans="1:16" x14ac:dyDescent="0.55000000000000004">
      <c r="A13" s="16" t="s">
        <v>105</v>
      </c>
      <c r="B13" s="16" t="s">
        <v>32</v>
      </c>
      <c r="C13" s="17">
        <f>Cálculos!E8</f>
        <v>0.16249999999999998</v>
      </c>
      <c r="D13" s="17">
        <f>C13-Cálculos!E19</f>
        <v>0.1543457</v>
      </c>
      <c r="E13" s="17">
        <f>C13+Cálculos!E19</f>
        <v>0.17065429999999995</v>
      </c>
      <c r="F13" s="17">
        <f t="shared" si="0"/>
        <v>1.6308599999999951E-2</v>
      </c>
      <c r="G13" s="17">
        <f>C13-2*Cálculos!E19</f>
        <v>0.1461914</v>
      </c>
      <c r="H13" s="17">
        <f>C13+2*Cálculos!E19</f>
        <v>0.17880859999999996</v>
      </c>
      <c r="I13" s="17">
        <f t="shared" si="1"/>
        <v>3.2617199999999957E-2</v>
      </c>
      <c r="J13" s="28">
        <f>COUNT(Datos_Prueba!$N$8:$N$27)-COUNTIF(Datos_Prueba!$N$8:$N$27,"&lt;"&amp;D13)-COUNTIF(Datos_Prueba!$N$8:$N$27,"&gt;"&amp;E13)</f>
        <v>12</v>
      </c>
      <c r="K13" s="26">
        <f>J13/COUNT(Datos_Prueba!$N$8:$N$27)</f>
        <v>0.6</v>
      </c>
      <c r="L13" s="28">
        <f>COUNT(Datos_Prueba!$N$8:$N$27)-COUNTIF(Datos_Prueba!$N$8:$N$27,"&lt;"&amp;G13)-COUNTIF(Datos_Prueba!$N$8:$N$27,"&gt;"&amp;H13)</f>
        <v>16</v>
      </c>
      <c r="M13" s="26">
        <f>L13/COUNT(Datos_Prueba!$N$8:$N$27)</f>
        <v>0.8</v>
      </c>
      <c r="N13" s="28">
        <f>COUNT(Datos_Prueba!$N$8:$N$27)-L13</f>
        <v>4</v>
      </c>
      <c r="O13" s="16" t="s">
        <v>108</v>
      </c>
      <c r="P13" s="16" t="s">
        <v>165</v>
      </c>
    </row>
    <row r="14" spans="1:16" ht="25.8" x14ac:dyDescent="0.55000000000000004">
      <c r="A14" s="13" t="s">
        <v>105</v>
      </c>
      <c r="B14" s="13" t="s">
        <v>35</v>
      </c>
      <c r="C14" s="15">
        <f>Cálculos!E14</f>
        <v>0.16249999999999998</v>
      </c>
      <c r="D14" s="15">
        <f>Cálculos!E13</f>
        <v>0.1575</v>
      </c>
      <c r="E14" s="15">
        <f>Cálculos!E15</f>
        <v>0.16974999999999998</v>
      </c>
      <c r="F14" s="15">
        <f t="shared" si="0"/>
        <v>1.2249999999999983E-2</v>
      </c>
      <c r="G14" s="15">
        <f>Cálculos!E12</f>
        <v>0.15279999999999999</v>
      </c>
      <c r="H14" s="15">
        <f>Cálculos!E16</f>
        <v>0.20750000000000002</v>
      </c>
      <c r="I14" s="15">
        <f t="shared" si="1"/>
        <v>5.4700000000000026E-2</v>
      </c>
      <c r="J14" s="23">
        <f>COUNT(Datos_Prueba!$N$8:$N$27)-COUNTIF(Datos_Prueba!$N$8:$N$27,"&lt;"&amp;D14)-COUNTIF(Datos_Prueba!$N$8:$N$27,"&gt;"&amp;E14)</f>
        <v>10</v>
      </c>
      <c r="K14" s="27">
        <f>J14/COUNT(Datos_Prueba!$N$8:$N$27)</f>
        <v>0.5</v>
      </c>
      <c r="L14" s="23">
        <f>COUNT(Datos_Prueba!$N$8:$N$27)-COUNTIF(Datos_Prueba!$N$8:$N$27,"&lt;"&amp;G14)-COUNTIF(Datos_Prueba!$N$8:$N$27,"&gt;"&amp;H14)</f>
        <v>16</v>
      </c>
      <c r="M14" s="27">
        <f>L14/COUNT(Datos_Prueba!$N$8:$N$27)</f>
        <v>0.8</v>
      </c>
      <c r="N14" s="23">
        <f>COUNT(Datos_Prueba!$N$8:$N$27)-L14</f>
        <v>4</v>
      </c>
      <c r="O14" s="13" t="s">
        <v>163</v>
      </c>
      <c r="P14" s="13" t="s">
        <v>166</v>
      </c>
    </row>
  </sheetData>
  <autoFilter ref="A5:P14" xr:uid="{00000000-0009-0000-0000-000004000000}"/>
  <mergeCells count="2">
    <mergeCell ref="A1:P1"/>
    <mergeCell ref="A2:P3"/>
  </mergeCells>
  <conditionalFormatting sqref="O6:O14">
    <cfRule type="cellIs" dxfId="8" priority="1" operator="equal">
      <formula>"Alta"</formula>
    </cfRule>
    <cfRule type="cellIs" dxfId="7" priority="2" operator="equal">
      <formula>"Media"</formula>
    </cfRule>
    <cfRule type="cellIs" dxfId="6" priority="3" operator="equal">
      <formula>"Baja"</formula>
    </cfRule>
  </conditionalFormatting>
  <pageMargins left="0.25" right="0.2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  <pageSetUpPr fitToPage="1"/>
  </sheetPr>
  <dimension ref="A1:J22"/>
  <sheetViews>
    <sheetView showGridLines="0" zoomScale="136" workbookViewId="0">
      <pane ySplit="5" topLeftCell="A22" activePane="bottomLeft" state="frozen"/>
      <selection pane="bottomLeft" activeCell="C32" sqref="C32"/>
    </sheetView>
  </sheetViews>
  <sheetFormatPr baseColWidth="10" defaultColWidth="8.83984375" defaultRowHeight="14.4" x14ac:dyDescent="0.55000000000000004"/>
  <cols>
    <col min="1" max="1" width="24" customWidth="1"/>
    <col min="2" max="4" width="16" customWidth="1"/>
    <col min="5" max="6" width="22" customWidth="1"/>
    <col min="7" max="7" width="3" customWidth="1"/>
    <col min="8" max="8" width="20" customWidth="1"/>
    <col min="9" max="9" width="28" customWidth="1"/>
    <col min="10" max="10" width="18" customWidth="1"/>
  </cols>
  <sheetData>
    <row r="1" spans="1:10" ht="28" customHeight="1" x14ac:dyDescent="0.55000000000000004">
      <c r="A1" s="37" t="s">
        <v>168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55000000000000004">
      <c r="A2" s="40" t="s">
        <v>169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x14ac:dyDescent="0.55000000000000004">
      <c r="A3" s="34"/>
      <c r="B3" s="34"/>
      <c r="C3" s="34"/>
      <c r="D3" s="34"/>
      <c r="E3" s="34"/>
      <c r="F3" s="34"/>
      <c r="G3" s="34"/>
      <c r="H3" s="34"/>
      <c r="I3" s="34"/>
      <c r="J3" s="34"/>
    </row>
    <row r="5" spans="1:10" ht="22" customHeight="1" x14ac:dyDescent="0.55000000000000004">
      <c r="A5" s="42" t="s">
        <v>170</v>
      </c>
      <c r="B5" s="34"/>
      <c r="C5" s="34"/>
      <c r="D5" s="34"/>
      <c r="E5" s="34"/>
      <c r="F5" s="34"/>
      <c r="H5" s="41" t="s">
        <v>171</v>
      </c>
      <c r="I5" s="34"/>
      <c r="J5" s="34"/>
    </row>
    <row r="6" spans="1:10" ht="32.049999999999997" customHeight="1" x14ac:dyDescent="0.55000000000000004">
      <c r="A6" s="10" t="s">
        <v>172</v>
      </c>
      <c r="B6" s="10" t="s">
        <v>103</v>
      </c>
      <c r="C6" s="10" t="s">
        <v>104</v>
      </c>
      <c r="D6" s="10" t="s">
        <v>105</v>
      </c>
      <c r="E6" s="10" t="s">
        <v>173</v>
      </c>
      <c r="F6" s="10" t="s">
        <v>174</v>
      </c>
      <c r="H6" s="3" t="s">
        <v>108</v>
      </c>
      <c r="I6" s="33" t="s">
        <v>175</v>
      </c>
      <c r="J6" s="34"/>
    </row>
    <row r="7" spans="1:10" ht="32.049999999999997" customHeight="1" x14ac:dyDescent="0.55000000000000004">
      <c r="A7" s="13" t="s">
        <v>108</v>
      </c>
      <c r="B7" s="29">
        <f>Cálculos!C5</f>
        <v>0.16189999999999999</v>
      </c>
      <c r="C7" s="29">
        <f>Cálculos!D5</f>
        <v>0.16829999999999995</v>
      </c>
      <c r="D7" s="29">
        <f>Cálculos!E5</f>
        <v>0.17304999999999998</v>
      </c>
      <c r="E7" s="29">
        <f>_xlfn.SINGLE(_xlfn.VAR.S(B7:D7))</f>
        <v>3.1307499999999944E-5</v>
      </c>
      <c r="F7" s="27">
        <f>MAX(ABS(C7-B7)/B7,ABS(D7-B7)/B7)</f>
        <v>6.8869672637430476E-2</v>
      </c>
      <c r="H7" s="3" t="s">
        <v>116</v>
      </c>
      <c r="I7" s="33" t="s">
        <v>176</v>
      </c>
      <c r="J7" s="34"/>
    </row>
    <row r="8" spans="1:10" ht="32.049999999999997" customHeight="1" x14ac:dyDescent="0.55000000000000004">
      <c r="A8" s="16" t="s">
        <v>116</v>
      </c>
      <c r="B8" s="30">
        <f>Cálculos!C8</f>
        <v>0.16249999999999998</v>
      </c>
      <c r="C8" s="30">
        <f>Cálculos!D8</f>
        <v>0.16249999999999998</v>
      </c>
      <c r="D8" s="30">
        <f>Cálculos!E8</f>
        <v>0.16249999999999998</v>
      </c>
      <c r="E8" s="30">
        <f>_xlfn.VAR.S(B8:D8)</f>
        <v>0</v>
      </c>
      <c r="F8" s="26">
        <f>MAX(ABS(C8-B8)/B8,ABS(D8-B8)/B8)</f>
        <v>0</v>
      </c>
      <c r="H8" s="3" t="s">
        <v>177</v>
      </c>
      <c r="I8" s="33" t="s">
        <v>178</v>
      </c>
      <c r="J8" s="34"/>
    </row>
    <row r="9" spans="1:10" ht="32.049999999999997" customHeight="1" x14ac:dyDescent="0.55000000000000004">
      <c r="H9" s="3" t="s">
        <v>179</v>
      </c>
      <c r="I9" s="33" t="s">
        <v>180</v>
      </c>
      <c r="J9" s="34"/>
    </row>
    <row r="10" spans="1:10" ht="32.049999999999997" customHeight="1" x14ac:dyDescent="0.55000000000000004">
      <c r="H10" s="3" t="s">
        <v>181</v>
      </c>
      <c r="I10" s="33" t="s">
        <v>182</v>
      </c>
      <c r="J10" s="34"/>
    </row>
    <row r="11" spans="1:10" ht="22" customHeight="1" x14ac:dyDescent="0.55000000000000004">
      <c r="A11" s="43" t="s">
        <v>183</v>
      </c>
      <c r="B11" s="34"/>
      <c r="C11" s="34"/>
      <c r="D11" s="34"/>
      <c r="E11" s="34"/>
      <c r="F11" s="34"/>
    </row>
    <row r="12" spans="1:10" ht="30" customHeight="1" x14ac:dyDescent="0.55000000000000004">
      <c r="A12" s="12" t="s">
        <v>172</v>
      </c>
      <c r="B12" s="12" t="s">
        <v>103</v>
      </c>
      <c r="C12" s="12" t="s">
        <v>104</v>
      </c>
      <c r="D12" s="12" t="s">
        <v>105</v>
      </c>
      <c r="E12" s="12" t="s">
        <v>173</v>
      </c>
      <c r="F12" s="12" t="s">
        <v>174</v>
      </c>
    </row>
    <row r="13" spans="1:10" x14ac:dyDescent="0.55000000000000004">
      <c r="A13" s="13" t="s">
        <v>184</v>
      </c>
      <c r="B13" s="29">
        <f>Rangos_Métodos!I6</f>
        <v>2.749621983588213E-2</v>
      </c>
      <c r="C13" s="29">
        <f>Rangos_Métodos!I9</f>
        <v>0.12665144876267487</v>
      </c>
      <c r="D13" s="29">
        <f>Rangos_Métodos!I12</f>
        <v>0.12071000481798523</v>
      </c>
      <c r="E13" s="29">
        <f>_xlfn.VAR.S(B13:D13)</f>
        <v>3.0926449817270541E-3</v>
      </c>
      <c r="F13" s="27">
        <f>MAX(ABS(C13-B13)/B13,ABS(D13-B13)/B13)</f>
        <v>3.6061403901563494</v>
      </c>
    </row>
    <row r="14" spans="1:10" x14ac:dyDescent="0.55000000000000004">
      <c r="A14" s="16" t="s">
        <v>185</v>
      </c>
      <c r="B14" s="30">
        <f>Rangos_Métodos!I7</f>
        <v>2.9652000000000123E-2</v>
      </c>
      <c r="C14" s="30">
        <f>Rangos_Métodos!I10</f>
        <v>2.9652000000000123E-2</v>
      </c>
      <c r="D14" s="30">
        <f>Rangos_Métodos!I13</f>
        <v>3.2617199999999957E-2</v>
      </c>
      <c r="E14" s="30">
        <f>_xlfn.VAR.S(B14:D14)</f>
        <v>2.9308036799996732E-6</v>
      </c>
      <c r="F14" s="26">
        <f>MAX(ABS(C14-B14)/B14,ABS(D14-B14)/B14)</f>
        <v>9.999999999999401E-2</v>
      </c>
    </row>
    <row r="15" spans="1:10" x14ac:dyDescent="0.55000000000000004">
      <c r="A15" s="13" t="s">
        <v>186</v>
      </c>
      <c r="B15" s="29">
        <f>Rangos_Métodos!I8</f>
        <v>1.730000000000001E-2</v>
      </c>
      <c r="C15" s="29">
        <f>Rangos_Métodos!I11</f>
        <v>1.730000000000001E-2</v>
      </c>
      <c r="D15" s="29">
        <f>Rangos_Métodos!I14</f>
        <v>5.4700000000000026E-2</v>
      </c>
      <c r="E15" s="29">
        <f>_xlfn.VAR.S(B15:D15)</f>
        <v>4.6625333333333361E-4</v>
      </c>
      <c r="F15" s="27">
        <f>MAX(ABS(C15-B15)/B15,ABS(D15-B15)/B15)</f>
        <v>2.1618497109826587</v>
      </c>
    </row>
    <row r="18" spans="1:6" ht="22" customHeight="1" x14ac:dyDescent="0.55000000000000004">
      <c r="A18" s="39" t="s">
        <v>187</v>
      </c>
      <c r="B18" s="34"/>
      <c r="C18" s="34"/>
      <c r="D18" s="34"/>
      <c r="E18" s="34"/>
      <c r="F18" s="34"/>
    </row>
    <row r="19" spans="1:6" ht="30" customHeight="1" x14ac:dyDescent="0.55000000000000004">
      <c r="A19" s="22" t="s">
        <v>148</v>
      </c>
      <c r="B19" s="22" t="s">
        <v>103</v>
      </c>
      <c r="C19" s="22" t="s">
        <v>104</v>
      </c>
      <c r="D19" s="22" t="s">
        <v>105</v>
      </c>
      <c r="E19" s="22" t="s">
        <v>188</v>
      </c>
      <c r="F19" s="22" t="s">
        <v>189</v>
      </c>
    </row>
    <row r="20" spans="1:6" x14ac:dyDescent="0.55000000000000004">
      <c r="A20" s="13" t="s">
        <v>184</v>
      </c>
      <c r="B20" s="27">
        <f>Rangos_Métodos!M6</f>
        <v>0.95</v>
      </c>
      <c r="C20" s="27">
        <f>Rangos_Métodos!M9</f>
        <v>0.95</v>
      </c>
      <c r="D20" s="27">
        <f>Rangos_Métodos!M12</f>
        <v>0.95</v>
      </c>
      <c r="E20" s="27">
        <f>AVERAGE(B20:D20)</f>
        <v>0.94999999999999984</v>
      </c>
      <c r="F20" s="27">
        <f>_xlfn.VAR.S(B20:D20)</f>
        <v>1.8488927466117464E-32</v>
      </c>
    </row>
    <row r="21" spans="1:6" x14ac:dyDescent="0.55000000000000004">
      <c r="A21" s="16" t="s">
        <v>185</v>
      </c>
      <c r="B21" s="26">
        <f>Rangos_Métodos!M7</f>
        <v>1</v>
      </c>
      <c r="C21" s="26">
        <f>Rangos_Métodos!M10</f>
        <v>0.95</v>
      </c>
      <c r="D21" s="26">
        <f>Rangos_Métodos!M13</f>
        <v>0.8</v>
      </c>
      <c r="E21" s="26">
        <f>AVERAGE(B21:D21)</f>
        <v>0.91666666666666663</v>
      </c>
      <c r="F21" s="26">
        <f>_xlfn.VAR.S(B21:D21)</f>
        <v>1.0833333333333327E-2</v>
      </c>
    </row>
    <row r="22" spans="1:6" x14ac:dyDescent="0.55000000000000004">
      <c r="A22" s="13" t="s">
        <v>186</v>
      </c>
      <c r="B22" s="27">
        <f>Rangos_Métodos!M8</f>
        <v>0.8</v>
      </c>
      <c r="C22" s="27">
        <f>Rangos_Métodos!M11</f>
        <v>0.8</v>
      </c>
      <c r="D22" s="27">
        <f>Rangos_Métodos!M14</f>
        <v>0.8</v>
      </c>
      <c r="E22" s="27">
        <f>AVERAGE(B22:D22)</f>
        <v>0.80000000000000016</v>
      </c>
      <c r="F22" s="27">
        <f>_xlfn.VAR.S(B22:D22)</f>
        <v>1.8488927466117464E-32</v>
      </c>
    </row>
  </sheetData>
  <mergeCells count="11">
    <mergeCell ref="A18:F18"/>
    <mergeCell ref="I8:J8"/>
    <mergeCell ref="A2:J3"/>
    <mergeCell ref="I9:J9"/>
    <mergeCell ref="A11:F11"/>
    <mergeCell ref="A1:J1"/>
    <mergeCell ref="I6:J6"/>
    <mergeCell ref="I7:J7"/>
    <mergeCell ref="A5:F5"/>
    <mergeCell ref="H5:J5"/>
    <mergeCell ref="I10:J10"/>
  </mergeCells>
  <conditionalFormatting sqref="E7:E8">
    <cfRule type="cellIs" dxfId="5" priority="1" operator="equal">
      <formula>MIN($E$7:$E$8)</formula>
    </cfRule>
  </conditionalFormatting>
  <conditionalFormatting sqref="E13:E15">
    <cfRule type="cellIs" dxfId="4" priority="2" operator="equal">
      <formula>MIN($E$13:$E$15)</formula>
    </cfRule>
  </conditionalFormatting>
  <conditionalFormatting sqref="F20:F22">
    <cfRule type="cellIs" dxfId="3" priority="3" operator="equal">
      <formula>MIN($F$20:$F$22)</formula>
    </cfRule>
  </conditionalFormatting>
  <pageMargins left="0.25" right="0.25" top="0.5" bottom="0.5" header="0.5" footer="0.5"/>
  <pageSetup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pageSetUpPr fitToPage="1"/>
  </sheetPr>
  <dimension ref="A1:J20"/>
  <sheetViews>
    <sheetView showGridLines="0" tabSelected="1" workbookViewId="0">
      <pane ySplit="11" topLeftCell="A12" activePane="bottomLeft" state="frozen"/>
      <selection pane="bottomLeft" activeCell="D7" sqref="D7:G7"/>
    </sheetView>
  </sheetViews>
  <sheetFormatPr baseColWidth="10" defaultColWidth="8.83984375" defaultRowHeight="14.4" x14ac:dyDescent="0.55000000000000004"/>
  <cols>
    <col min="1" max="1" width="16" customWidth="1"/>
    <col min="2" max="2" width="29" customWidth="1"/>
    <col min="3" max="4" width="21" customWidth="1"/>
    <col min="5" max="5" width="14" customWidth="1"/>
    <col min="6" max="6" width="13" customWidth="1"/>
    <col min="7" max="7" width="20" customWidth="1"/>
    <col min="8" max="8" width="38" customWidth="1"/>
    <col min="9" max="10" width="3" customWidth="1"/>
  </cols>
  <sheetData>
    <row r="1" spans="1:10" ht="28" customHeight="1" x14ac:dyDescent="0.55000000000000004">
      <c r="A1" s="37" t="s">
        <v>190</v>
      </c>
      <c r="B1" s="34"/>
      <c r="C1" s="34"/>
      <c r="D1" s="34"/>
      <c r="E1" s="34"/>
      <c r="F1" s="34"/>
      <c r="G1" s="34"/>
      <c r="H1" s="34"/>
      <c r="I1" s="34"/>
      <c r="J1" s="34"/>
    </row>
    <row r="3" spans="1:10" ht="22" customHeight="1" x14ac:dyDescent="0.55000000000000004">
      <c r="A3" s="42" t="s">
        <v>191</v>
      </c>
      <c r="B3" s="34"/>
      <c r="C3" s="34"/>
      <c r="D3" s="34"/>
    </row>
    <row r="5" spans="1:10" x14ac:dyDescent="0.55000000000000004">
      <c r="A5" s="3" t="s">
        <v>192</v>
      </c>
      <c r="B5" s="31">
        <v>10000000</v>
      </c>
      <c r="D5" s="3" t="s">
        <v>193</v>
      </c>
    </row>
    <row r="6" spans="1:10" x14ac:dyDescent="0.55000000000000004">
      <c r="A6" s="3" t="s">
        <v>194</v>
      </c>
      <c r="B6" s="31">
        <v>1000000</v>
      </c>
      <c r="D6" s="47" t="s">
        <v>195</v>
      </c>
      <c r="E6" s="34"/>
      <c r="F6" s="34"/>
      <c r="G6" s="34"/>
    </row>
    <row r="7" spans="1:10" x14ac:dyDescent="0.55000000000000004">
      <c r="A7" s="3" t="s">
        <v>196</v>
      </c>
      <c r="B7" s="32">
        <f>IF(B5=0,"",B6/B5)</f>
        <v>0.1</v>
      </c>
      <c r="D7" s="48" t="s">
        <v>197</v>
      </c>
      <c r="E7" s="34"/>
      <c r="F7" s="34"/>
      <c r="G7" s="34"/>
    </row>
    <row r="8" spans="1:10" x14ac:dyDescent="0.55000000000000004">
      <c r="D8" s="46" t="s">
        <v>198</v>
      </c>
      <c r="E8" s="34"/>
      <c r="F8" s="34"/>
      <c r="G8" s="34"/>
    </row>
    <row r="11" spans="1:10" ht="30" customHeight="1" x14ac:dyDescent="0.55000000000000004">
      <c r="A11" s="22" t="s">
        <v>147</v>
      </c>
      <c r="B11" s="22" t="s">
        <v>148</v>
      </c>
      <c r="C11" s="22" t="s">
        <v>199</v>
      </c>
      <c r="D11" s="22" t="s">
        <v>200</v>
      </c>
      <c r="E11" s="22" t="s">
        <v>201</v>
      </c>
      <c r="F11" s="22" t="s">
        <v>202</v>
      </c>
      <c r="G11" s="22" t="s">
        <v>203</v>
      </c>
      <c r="H11" s="22" t="s">
        <v>204</v>
      </c>
    </row>
    <row r="12" spans="1:10" x14ac:dyDescent="0.55000000000000004">
      <c r="A12" s="13" t="str">
        <f>Rangos_Métodos!A6</f>
        <v>Homogéneo</v>
      </c>
      <c r="B12" s="13" t="str">
        <f>Rangos_Métodos!B6</f>
        <v>Media + desviación estándar</v>
      </c>
      <c r="C12" s="13" t="str">
        <f>TEXT(Rangos_Métodos!D6,"0.0000")&amp;" – "&amp;TEXT(Rangos_Métodos!E6,"0.0000")</f>
        <v>0.1550 – 0.1688</v>
      </c>
      <c r="D12" s="13" t="str">
        <f>TEXT(Rangos_Métodos!G6,"0.0000")&amp;" – "&amp;TEXT(Rangos_Métodos!H6,"0.0000")</f>
        <v>0.1482 – 0.1756</v>
      </c>
      <c r="E12" s="15">
        <f>$B$7</f>
        <v>0.1</v>
      </c>
      <c r="F12" s="13" t="str">
        <f>IF(OR($B$7&lt;Rangos_Métodos!G6,$B$7&gt;Rangos_Métodos!H6),"Crítico",IF(AND($B$7&gt;=Rangos_Métodos!D6,$B$7&lt;=Rangos_Métodos!E6),"Correcto","Revisar"))</f>
        <v>Crítico</v>
      </c>
      <c r="G12" s="27">
        <f>IF(Rangos_Métodos!C6=0,0,($B$7-Rangos_Métodos!C6)/Rangos_Métodos!C6)</f>
        <v>-0.38233477455219261</v>
      </c>
      <c r="H12" s="13" t="str">
        <f t="shared" ref="H12:H20" si="0">IF(F12="Correcto","Dentro del comportamiento esperado",IF(F12="Revisar","Revisar cantidades, unidad y alcance","Posible error o condición especial"))</f>
        <v>Posible error o condición especial</v>
      </c>
    </row>
    <row r="13" spans="1:10" x14ac:dyDescent="0.55000000000000004">
      <c r="A13" s="16" t="str">
        <f>Rangos_Métodos!A7</f>
        <v>Homogéneo</v>
      </c>
      <c r="B13" s="16" t="str">
        <f>Rangos_Métodos!B7</f>
        <v>Mediana + MAD ajustado</v>
      </c>
      <c r="C13" s="16" t="str">
        <f>TEXT(Rangos_Métodos!D7,"0.0000")&amp;" – "&amp;TEXT(Rangos_Métodos!E7,"0.0000")</f>
        <v>0.1551 – 0.1699</v>
      </c>
      <c r="D13" s="16" t="str">
        <f>TEXT(Rangos_Métodos!G7,"0.0000")&amp;" – "&amp;TEXT(Rangos_Métodos!H7,"0.0000")</f>
        <v>0.1477 – 0.1773</v>
      </c>
      <c r="E13" s="17">
        <f t="shared" ref="E12:E20" si="1">$B$7</f>
        <v>0.1</v>
      </c>
      <c r="F13" s="16" t="str">
        <f>IF(OR($B$7&lt;Rangos_Métodos!G7,$B$7&gt;Rangos_Métodos!H7),"Crítico",IF(AND($B$7&gt;=Rangos_Métodos!D7,$B$7&lt;=Rangos_Métodos!E7),"Correcto","Revisar"))</f>
        <v>Crítico</v>
      </c>
      <c r="G13" s="26">
        <f>IF(Rangos_Métodos!C7=0,0,($B$7-Rangos_Métodos!C7)/Rangos_Métodos!C7)</f>
        <v>-0.38461538461538447</v>
      </c>
      <c r="H13" s="16" t="str">
        <f t="shared" si="0"/>
        <v>Posible error o condición especial</v>
      </c>
    </row>
    <row r="14" spans="1:10" x14ac:dyDescent="0.55000000000000004">
      <c r="A14" s="13" t="str">
        <f>Rangos_Métodos!A8</f>
        <v>Homogéneo</v>
      </c>
      <c r="B14" s="13" t="str">
        <f>Rangos_Métodos!B8</f>
        <v>Mediana + percentiles</v>
      </c>
      <c r="C14" s="13" t="str">
        <f>TEXT(Rangos_Métodos!D8,"0.0000")&amp;" – "&amp;TEXT(Rangos_Métodos!E8,"0.0000")</f>
        <v>0.1575 – 0.1673</v>
      </c>
      <c r="D14" s="13" t="str">
        <f>TEXT(Rangos_Métodos!G8,"0.0000")&amp;" – "&amp;TEXT(Rangos_Métodos!H8,"0.0000")</f>
        <v>0.1528 – 0.1701</v>
      </c>
      <c r="E14" s="15">
        <f t="shared" si="1"/>
        <v>0.1</v>
      </c>
      <c r="F14" s="13" t="str">
        <f>IF(OR($B$7&lt;Rangos_Métodos!G8,$B$7&gt;Rangos_Métodos!H8),"Crítico",IF(AND($B$7&gt;=Rangos_Métodos!D8,$B$7&lt;=Rangos_Métodos!E8),"Correcto","Revisar"))</f>
        <v>Crítico</v>
      </c>
      <c r="G14" s="27">
        <f>IF(Rangos_Métodos!C8=0,0,($B$7-Rangos_Métodos!C8)/Rangos_Métodos!C8)</f>
        <v>-0.38461538461538447</v>
      </c>
      <c r="H14" s="13" t="str">
        <f t="shared" si="0"/>
        <v>Posible error o condición especial</v>
      </c>
    </row>
    <row r="15" spans="1:10" x14ac:dyDescent="0.55000000000000004">
      <c r="A15" s="16" t="str">
        <f>Rangos_Métodos!A9</f>
        <v>Con atípico</v>
      </c>
      <c r="B15" s="16" t="str">
        <f>Rangos_Métodos!B9</f>
        <v>Media + desviación estándar</v>
      </c>
      <c r="C15" s="16" t="str">
        <f>TEXT(Rangos_Métodos!D9,"0.0000")&amp;" – "&amp;TEXT(Rangos_Métodos!E9,"0.0000")</f>
        <v>0.1366 – 0.2000</v>
      </c>
      <c r="D15" s="16" t="str">
        <f>TEXT(Rangos_Métodos!G9,"0.0000")&amp;" – "&amp;TEXT(Rangos_Métodos!H9,"0.0000")</f>
        <v>0.1050 – 0.2316</v>
      </c>
      <c r="E15" s="17">
        <f t="shared" si="1"/>
        <v>0.1</v>
      </c>
      <c r="F15" s="16" t="str">
        <f>IF(OR($B$7&lt;Rangos_Métodos!G9,$B$7&gt;Rangos_Métodos!H9),"Crítico",IF(AND($B$7&gt;=Rangos_Métodos!D9,$B$7&lt;=Rangos_Métodos!E9),"Correcto","Revisar"))</f>
        <v>Crítico</v>
      </c>
      <c r="G15" s="26">
        <f>IF(Rangos_Métodos!C9=0,0,($B$7-Rangos_Métodos!C9)/Rangos_Métodos!C9)</f>
        <v>-0.40582293523469976</v>
      </c>
      <c r="H15" s="16" t="str">
        <f t="shared" si="0"/>
        <v>Posible error o condición especial</v>
      </c>
    </row>
    <row r="16" spans="1:10" x14ac:dyDescent="0.55000000000000004">
      <c r="A16" s="13" t="str">
        <f>Rangos_Métodos!A10</f>
        <v>Con atípico</v>
      </c>
      <c r="B16" s="13" t="str">
        <f>Rangos_Métodos!B10</f>
        <v>Mediana + MAD ajustado</v>
      </c>
      <c r="C16" s="13" t="str">
        <f>TEXT(Rangos_Métodos!D10,"0.0000")&amp;" – "&amp;TEXT(Rangos_Métodos!E10,"0.0000")</f>
        <v>0.1551 – 0.1699</v>
      </c>
      <c r="D16" s="13" t="str">
        <f>TEXT(Rangos_Métodos!G10,"0.0000")&amp;" – "&amp;TEXT(Rangos_Métodos!H10,"0.0000")</f>
        <v>0.1477 – 0.1773</v>
      </c>
      <c r="E16" s="15">
        <f t="shared" si="1"/>
        <v>0.1</v>
      </c>
      <c r="F16" s="13" t="str">
        <f>IF(OR($B$7&lt;Rangos_Métodos!G10,$B$7&gt;Rangos_Métodos!H10),"Crítico",IF(AND($B$7&gt;=Rangos_Métodos!D10,$B$7&lt;=Rangos_Métodos!E10),"Correcto","Revisar"))</f>
        <v>Crítico</v>
      </c>
      <c r="G16" s="27">
        <f>IF(Rangos_Métodos!C10=0,0,($B$7-Rangos_Métodos!C10)/Rangos_Métodos!C10)</f>
        <v>-0.38461538461538447</v>
      </c>
      <c r="H16" s="13" t="str">
        <f t="shared" si="0"/>
        <v>Posible error o condición especial</v>
      </c>
    </row>
    <row r="17" spans="1:8" x14ac:dyDescent="0.55000000000000004">
      <c r="A17" s="16" t="str">
        <f>Rangos_Métodos!A11</f>
        <v>Con atípico</v>
      </c>
      <c r="B17" s="16" t="str">
        <f>Rangos_Métodos!B11</f>
        <v>Mediana + percentiles</v>
      </c>
      <c r="C17" s="16" t="str">
        <f>TEXT(Rangos_Métodos!D11,"0.0000")&amp;" – "&amp;TEXT(Rangos_Métodos!E11,"0.0000")</f>
        <v>0.1575 – 0.1673</v>
      </c>
      <c r="D17" s="16" t="str">
        <f>TEXT(Rangos_Métodos!G11,"0.0000")&amp;" – "&amp;TEXT(Rangos_Métodos!H11,"0.0000")</f>
        <v>0.1528 – 0.1701</v>
      </c>
      <c r="E17" s="17">
        <f t="shared" si="1"/>
        <v>0.1</v>
      </c>
      <c r="F17" s="16" t="str">
        <f>IF(OR($B$7&lt;Rangos_Métodos!G11,$B$7&gt;Rangos_Métodos!H11),"Crítico",IF(AND($B$7&gt;=Rangos_Métodos!D11,$B$7&lt;=Rangos_Métodos!E11),"Correcto","Revisar"))</f>
        <v>Crítico</v>
      </c>
      <c r="G17" s="26">
        <f>IF(Rangos_Métodos!C11=0,0,($B$7-Rangos_Métodos!C11)/Rangos_Métodos!C11)</f>
        <v>-0.38461538461538447</v>
      </c>
      <c r="H17" s="16" t="str">
        <f t="shared" si="0"/>
        <v>Posible error o condición especial</v>
      </c>
    </row>
    <row r="18" spans="1:8" x14ac:dyDescent="0.55000000000000004">
      <c r="A18" s="13" t="str">
        <f>Rangos_Métodos!A12</f>
        <v>Asimétrico</v>
      </c>
      <c r="B18" s="13" t="str">
        <f>Rangos_Métodos!B12</f>
        <v>Media + desviación estándar</v>
      </c>
      <c r="C18" s="13" t="str">
        <f>TEXT(Rangos_Métodos!D12,"0.0000")&amp;" – "&amp;TEXT(Rangos_Métodos!E12,"0.0000")</f>
        <v>0.1429 – 0.2032</v>
      </c>
      <c r="D18" s="13" t="str">
        <f>TEXT(Rangos_Métodos!G12,"0.0000")&amp;" – "&amp;TEXT(Rangos_Métodos!H12,"0.0000")</f>
        <v>0.1127 – 0.2334</v>
      </c>
      <c r="E18" s="15">
        <f t="shared" si="1"/>
        <v>0.1</v>
      </c>
      <c r="F18" s="13" t="str">
        <f>IF(OR($B$7&lt;Rangos_Métodos!G12,$B$7&gt;Rangos_Métodos!H12),"Crítico",IF(AND($B$7&gt;=Rangos_Métodos!D12,$B$7&lt;=Rangos_Métodos!E12),"Correcto","Revisar"))</f>
        <v>Crítico</v>
      </c>
      <c r="G18" s="27">
        <f>IF(Rangos_Métodos!C12=0,0,($B$7-Rangos_Métodos!C12)/Rangos_Métodos!C12)</f>
        <v>-0.42213233169604153</v>
      </c>
      <c r="H18" s="13" t="str">
        <f t="shared" si="0"/>
        <v>Posible error o condición especial</v>
      </c>
    </row>
    <row r="19" spans="1:8" x14ac:dyDescent="0.55000000000000004">
      <c r="A19" s="16" t="str">
        <f>Rangos_Métodos!A13</f>
        <v>Asimétrico</v>
      </c>
      <c r="B19" s="16" t="str">
        <f>Rangos_Métodos!B13</f>
        <v>Mediana + MAD ajustado</v>
      </c>
      <c r="C19" s="16" t="str">
        <f>TEXT(Rangos_Métodos!D13,"0.0000")&amp;" – "&amp;TEXT(Rangos_Métodos!E13,"0.0000")</f>
        <v>0.1543 – 0.1707</v>
      </c>
      <c r="D19" s="16" t="str">
        <f>TEXT(Rangos_Métodos!G13,"0.0000")&amp;" – "&amp;TEXT(Rangos_Métodos!H13,"0.0000")</f>
        <v>0.1462 – 0.1788</v>
      </c>
      <c r="E19" s="17">
        <f t="shared" si="1"/>
        <v>0.1</v>
      </c>
      <c r="F19" s="16" t="str">
        <f>IF(OR($B$7&lt;Rangos_Métodos!G13,$B$7&gt;Rangos_Métodos!H13),"Crítico",IF(AND($B$7&gt;=Rangos_Métodos!D13,$B$7&lt;=Rangos_Métodos!E13),"Correcto","Revisar"))</f>
        <v>Crítico</v>
      </c>
      <c r="G19" s="26">
        <f>IF(Rangos_Métodos!C13=0,0,($B$7-Rangos_Métodos!C13)/Rangos_Métodos!C13)</f>
        <v>-0.38461538461538447</v>
      </c>
      <c r="H19" s="16" t="str">
        <f t="shared" si="0"/>
        <v>Posible error o condición especial</v>
      </c>
    </row>
    <row r="20" spans="1:8" x14ac:dyDescent="0.55000000000000004">
      <c r="A20" s="13" t="str">
        <f>Rangos_Métodos!A14</f>
        <v>Asimétrico</v>
      </c>
      <c r="B20" s="13" t="str">
        <f>Rangos_Métodos!B14</f>
        <v>Mediana + percentiles</v>
      </c>
      <c r="C20" s="13" t="str">
        <f>TEXT(Rangos_Métodos!D14,"0.0000")&amp;" – "&amp;TEXT(Rangos_Métodos!E14,"0.0000")</f>
        <v>0.1575 – 0.1698</v>
      </c>
      <c r="D20" s="13" t="str">
        <f>TEXT(Rangos_Métodos!G14,"0.0000")&amp;" – "&amp;TEXT(Rangos_Métodos!H14,"0.0000")</f>
        <v>0.1528 – 0.2075</v>
      </c>
      <c r="E20" s="15">
        <f t="shared" si="1"/>
        <v>0.1</v>
      </c>
      <c r="F20" s="13" t="str">
        <f>IF(OR($B$7&lt;Rangos_Métodos!G14,$B$7&gt;Rangos_Métodos!H14),"Crítico",IF(AND($B$7&gt;=Rangos_Métodos!D14,$B$7&lt;=Rangos_Métodos!E14),"Correcto","Revisar"))</f>
        <v>Crítico</v>
      </c>
      <c r="G20" s="27">
        <f>IF(Rangos_Métodos!C14=0,0,($B$7-Rangos_Métodos!C14)/Rangos_Métodos!C14)</f>
        <v>-0.38461538461538447</v>
      </c>
      <c r="H20" s="13" t="str">
        <f t="shared" si="0"/>
        <v>Posible error o condición especial</v>
      </c>
    </row>
  </sheetData>
  <autoFilter ref="A11:H20" xr:uid="{00000000-0009-0000-0000-000006000000}"/>
  <mergeCells count="5">
    <mergeCell ref="A1:J1"/>
    <mergeCell ref="D8:G8"/>
    <mergeCell ref="D6:G6"/>
    <mergeCell ref="A3:D3"/>
    <mergeCell ref="D7:G7"/>
  </mergeCells>
  <conditionalFormatting sqref="F12:F20">
    <cfRule type="cellIs" dxfId="2" priority="1" operator="equal">
      <formula>"Correcto"</formula>
    </cfRule>
    <cfRule type="cellIs" dxfId="1" priority="2" operator="equal">
      <formula>"Revisar"</formula>
    </cfRule>
    <cfRule type="cellIs" dxfId="0" priority="3" operator="equal">
      <formula>"Crítico"</formula>
    </cfRule>
  </conditionalFormatting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Guía</vt:lpstr>
      <vt:lpstr>Datos_Prueba</vt:lpstr>
      <vt:lpstr>Percentiles</vt:lpstr>
      <vt:lpstr>Cálculos</vt:lpstr>
      <vt:lpstr>Rangos_Métodos</vt:lpstr>
      <vt:lpstr>Comparación</vt:lpstr>
      <vt:lpstr>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Anahi Carbajal</cp:lastModifiedBy>
  <dcterms:created xsi:type="dcterms:W3CDTF">2026-07-30T21:43:44Z</dcterms:created>
  <dcterms:modified xsi:type="dcterms:W3CDTF">2026-07-30T22:10:37Z</dcterms:modified>
</cp:coreProperties>
</file>